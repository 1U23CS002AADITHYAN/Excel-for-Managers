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DITHYAN B\Excel for managers\"/>
    </mc:Choice>
  </mc:AlternateContent>
  <bookViews>
    <workbookView xWindow="0" yWindow="0" windowWidth="20490" windowHeight="7650" activeTab="6"/>
  </bookViews>
  <sheets>
    <sheet name="Flag" sheetId="1" r:id="rId1"/>
    <sheet name="Moon" sheetId="2" r:id="rId2"/>
    <sheet name="Trend" sheetId="5" r:id="rId3"/>
    <sheet name="Colour Dots" sheetId="6" r:id="rId4"/>
    <sheet name="Bar Chart" sheetId="7" r:id="rId5"/>
    <sheet name="Dividing Name" sheetId="8" r:id="rId6"/>
    <sheet name="Pan Card number" sheetId="9" r:id="rId7"/>
    <sheet name="Basic Formula" sheetId="10" r:id="rId8"/>
    <sheet name="SUM Product" sheetId="11" r:id="rId9"/>
    <sheet name="Index" sheetId="12" r:id="rId10"/>
    <sheet name="VLOOKUP " sheetId="13" r:id="rId11"/>
    <sheet name="VLookup" sheetId="14" r:id="rId12"/>
    <sheet name="Depreciation" sheetId="15" r:id="rId13"/>
    <sheet name="Future Value Calculation" sheetId="16" r:id="rId14"/>
    <sheet name="Present Value Calculation" sheetId="17" r:id="rId15"/>
    <sheet name="Sheet1" sheetId="18" r:id="rId16"/>
    <sheet name="Statistical Function" sheetId="19" r:id="rId17"/>
  </sheets>
  <definedNames>
    <definedName name="_xlnm._FilterDatabase" localSheetId="7" hidden="1">'Basic Formula'!$A$1:$E$28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9" l="1"/>
  <c r="H3" i="9"/>
  <c r="G3" i="9"/>
  <c r="F3" i="9"/>
  <c r="E5" i="9"/>
  <c r="E4" i="9"/>
  <c r="E3" i="9"/>
  <c r="E9" i="11"/>
  <c r="K3" i="14"/>
  <c r="B6" i="18" l="1"/>
  <c r="E6" i="19"/>
  <c r="E5" i="19" l="1"/>
  <c r="E4" i="19"/>
  <c r="E3" i="19"/>
  <c r="C10" i="17" l="1"/>
  <c r="C5" i="17"/>
  <c r="B7" i="16"/>
  <c r="C23" i="15"/>
  <c r="C24" i="15"/>
  <c r="C25" i="15"/>
  <c r="C22" i="15"/>
  <c r="C21" i="15"/>
  <c r="D21" i="15" s="1"/>
  <c r="B22" i="15" s="1"/>
  <c r="D22" i="15" s="1"/>
  <c r="B23" i="15" s="1"/>
  <c r="B21" i="15"/>
  <c r="B6" i="15"/>
  <c r="H13" i="15" s="1"/>
  <c r="H12" i="15"/>
  <c r="H10" i="15"/>
  <c r="G10" i="15"/>
  <c r="I10" i="15" s="1"/>
  <c r="G11" i="15" s="1"/>
  <c r="D11" i="15"/>
  <c r="C10" i="15"/>
  <c r="F5" i="13"/>
  <c r="I11" i="15" l="1"/>
  <c r="G12" i="15" s="1"/>
  <c r="I12" i="15" s="1"/>
  <c r="G13" i="15" s="1"/>
  <c r="I13" i="15" s="1"/>
  <c r="G14" i="15" s="1"/>
  <c r="I14" i="15" s="1"/>
  <c r="D23" i="15"/>
  <c r="B24" i="15" s="1"/>
  <c r="D24" i="15" s="1"/>
  <c r="B25" i="15" s="1"/>
  <c r="D25" i="15" s="1"/>
  <c r="D12" i="15"/>
  <c r="D13" i="15"/>
  <c r="H14" i="15"/>
  <c r="H11" i="15"/>
  <c r="D10" i="15"/>
  <c r="E10" i="15" s="1"/>
  <c r="C11" i="15" s="1"/>
  <c r="E11" i="15" s="1"/>
  <c r="C12" i="15" s="1"/>
  <c r="D14" i="15"/>
  <c r="K6" i="14"/>
  <c r="K5" i="14"/>
  <c r="K4" i="14"/>
  <c r="F6" i="13"/>
  <c r="F7" i="13"/>
  <c r="F8" i="13"/>
  <c r="E12" i="15" l="1"/>
  <c r="C13" i="15" s="1"/>
  <c r="E13" i="15" s="1"/>
  <c r="C14" i="15" s="1"/>
  <c r="E14" i="15" s="1"/>
  <c r="L3" i="12"/>
  <c r="L4" i="12"/>
  <c r="L7" i="12"/>
  <c r="L5" i="12"/>
  <c r="D9" i="11"/>
  <c r="H24" i="10"/>
  <c r="H10" i="10"/>
  <c r="H25" i="10"/>
  <c r="H23" i="10" l="1"/>
  <c r="H22" i="10"/>
  <c r="H21" i="10"/>
  <c r="H20" i="10"/>
  <c r="H19" i="10"/>
  <c r="H18" i="10"/>
  <c r="H17" i="10"/>
  <c r="H3" i="10"/>
  <c r="H4" i="10"/>
  <c r="H5" i="10"/>
  <c r="H6" i="10"/>
  <c r="H7" i="10"/>
  <c r="H8" i="10"/>
  <c r="H9" i="10"/>
  <c r="H11" i="10"/>
  <c r="B7" i="9" l="1"/>
  <c r="B6" i="9"/>
  <c r="B5" i="9"/>
  <c r="B4" i="9"/>
  <c r="B3" i="9"/>
</calcChain>
</file>

<file path=xl/sharedStrings.xml><?xml version="1.0" encoding="utf-8"?>
<sst xmlns="http://schemas.openxmlformats.org/spreadsheetml/2006/main" count="433" uniqueCount="287">
  <si>
    <t>2014 Gross Profits (in Millions)</t>
  </si>
  <si>
    <t>Area</t>
  </si>
  <si>
    <t>Q4</t>
  </si>
  <si>
    <t>Q1</t>
  </si>
  <si>
    <t>Status</t>
  </si>
  <si>
    <t>Trend</t>
  </si>
  <si>
    <t>Q2</t>
  </si>
  <si>
    <t>Q3</t>
  </si>
  <si>
    <t>Europe</t>
  </si>
  <si>
    <t>S. America</t>
  </si>
  <si>
    <t>Asia</t>
  </si>
  <si>
    <t>Australia</t>
  </si>
  <si>
    <t>N. America</t>
  </si>
  <si>
    <t>Product</t>
  </si>
  <si>
    <t>Shifting</t>
  </si>
  <si>
    <t>Brakes</t>
  </si>
  <si>
    <t>Handle
Bars</t>
  </si>
  <si>
    <t>Seat</t>
  </si>
  <si>
    <t>Frequency
of Repair</t>
  </si>
  <si>
    <t>Overall
Score</t>
  </si>
  <si>
    <t>Mountain Bike</t>
  </si>
  <si>
    <t>Comfort Rider</t>
  </si>
  <si>
    <t>Hybrid</t>
  </si>
  <si>
    <t>Road Bike</t>
  </si>
  <si>
    <t>Recumbant</t>
  </si>
  <si>
    <t>Unicycle</t>
  </si>
  <si>
    <t>Profits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</si>
  <si>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</si>
  <si>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</si>
  <si>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</si>
  <si>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</si>
  <si>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</si>
  <si>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</si>
  <si>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</si>
  <si>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</si>
  <si>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</si>
  <si>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</si>
  <si>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</si>
  <si>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</si>
  <si>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FY 2014</t>
  </si>
  <si>
    <t>Region</t>
  </si>
  <si>
    <t>Sales</t>
  </si>
  <si>
    <t>NorthWest</t>
  </si>
  <si>
    <t>West</t>
  </si>
  <si>
    <t>SouthWest</t>
  </si>
  <si>
    <t>South</t>
  </si>
  <si>
    <t>Central</t>
  </si>
  <si>
    <t>NorthEast</t>
  </si>
  <si>
    <t>East</t>
  </si>
  <si>
    <t>Territories</t>
  </si>
  <si>
    <t>Total</t>
  </si>
  <si>
    <t>Mountain</t>
  </si>
  <si>
    <t>Location</t>
  </si>
  <si>
    <t>Height
(m)</t>
  </si>
  <si>
    <t>Default
Value</t>
  </si>
  <si>
    <t>Bar only</t>
  </si>
  <si>
    <t>Two column
bar chart</t>
  </si>
  <si>
    <t>Aconcagua</t>
  </si>
  <si>
    <t>Argentina</t>
  </si>
  <si>
    <t>Annapurna I</t>
  </si>
  <si>
    <t>Nepal</t>
  </si>
  <si>
    <t>Ararat</t>
  </si>
  <si>
    <t>Turkey</t>
  </si>
  <si>
    <t>Citlaltepetl</t>
  </si>
  <si>
    <t>Mexico</t>
  </si>
  <si>
    <t>Cook</t>
  </si>
  <si>
    <t>New Zealand</t>
  </si>
  <si>
    <t>Everest</t>
  </si>
  <si>
    <t>Nepal-China</t>
  </si>
  <si>
    <t>Grand Teton</t>
  </si>
  <si>
    <t>Wyoming, U.S.</t>
  </si>
  <si>
    <t>Huascaran</t>
  </si>
  <si>
    <t>Peru</t>
  </si>
  <si>
    <t>Jaja</t>
  </si>
  <si>
    <t>New Guinea</t>
  </si>
  <si>
    <t>Jebel Toubkal</t>
  </si>
  <si>
    <t>Morocco</t>
  </si>
  <si>
    <t>K2</t>
  </si>
  <si>
    <t>Kashmir</t>
  </si>
  <si>
    <t>Kanchenjunga</t>
  </si>
  <si>
    <t>India-Nepal</t>
  </si>
  <si>
    <t>Kilimanjaro</t>
  </si>
  <si>
    <t>Tanzania</t>
  </si>
  <si>
    <t>Kinabalu</t>
  </si>
  <si>
    <t>Malaysia</t>
  </si>
  <si>
    <t>Logan</t>
  </si>
  <si>
    <t>Yukon, Canada</t>
  </si>
  <si>
    <t>McKinley</t>
  </si>
  <si>
    <t>Alaska, U.S.</t>
  </si>
  <si>
    <t>Mont Blanc</t>
  </si>
  <si>
    <t>France-Italy</t>
  </si>
  <si>
    <t>Monte Rosa</t>
  </si>
  <si>
    <t>Italy-Switzerland</t>
  </si>
  <si>
    <t>Ojos del Salado</t>
  </si>
  <si>
    <t>Argentina-Chile</t>
  </si>
  <si>
    <t>Ras Dashan</t>
  </si>
  <si>
    <t>Ethiopia</t>
  </si>
  <si>
    <t>Sajama</t>
  </si>
  <si>
    <t>Bolivia</t>
  </si>
  <si>
    <t>Vinson Massif</t>
  </si>
  <si>
    <t>Antarctica</t>
  </si>
  <si>
    <t>Sharma</t>
  </si>
  <si>
    <t>Aditya</t>
  </si>
  <si>
    <t>Rana</t>
  </si>
  <si>
    <t>Siddharth</t>
  </si>
  <si>
    <t>Desai</t>
  </si>
  <si>
    <t>Akshay</t>
  </si>
  <si>
    <t>C</t>
  </si>
  <si>
    <t>Narendran</t>
  </si>
  <si>
    <t>Banglore</t>
  </si>
  <si>
    <t>Palakad</t>
  </si>
  <si>
    <t>Delhi</t>
  </si>
  <si>
    <t>Trivendrum</t>
  </si>
  <si>
    <t xml:space="preserve">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</si>
  <si>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</t>
  </si>
  <si>
    <t>Length</t>
  </si>
  <si>
    <t>Part #</t>
  </si>
  <si>
    <t>ICIC0000001</t>
  </si>
  <si>
    <t>CHENNAI - CENOTAPH ROAD</t>
  </si>
  <si>
    <t>VADODARA </t>
  </si>
  <si>
    <t>MUMBAI - NARIMAN POINT </t>
  </si>
  <si>
    <t>VADODARA</t>
  </si>
  <si>
    <t>Extract first two characters</t>
  </si>
  <si>
    <t>Extract last two characters</t>
  </si>
  <si>
    <t>Extract middle characters</t>
  </si>
  <si>
    <t>Name</t>
  </si>
  <si>
    <t>Department</t>
  </si>
  <si>
    <t>Course</t>
  </si>
  <si>
    <t>Year</t>
  </si>
  <si>
    <t>FeePaid</t>
  </si>
  <si>
    <t>ABHINAV D</t>
  </si>
  <si>
    <t>Commerce</t>
  </si>
  <si>
    <t>BCom(BA)</t>
  </si>
  <si>
    <t>I Year</t>
  </si>
  <si>
    <t>AJAY A</t>
  </si>
  <si>
    <t>Sum of fee collection</t>
  </si>
  <si>
    <t>AJIN C P</t>
  </si>
  <si>
    <t>Sum of Fee Paid in Commerce Dept</t>
  </si>
  <si>
    <t>AKSHAY SURESH</t>
  </si>
  <si>
    <t>II Year</t>
  </si>
  <si>
    <t>Sum of Fee Paid in Commerce Dept BCom(BA)</t>
  </si>
  <si>
    <t>ANGALEESWARI J</t>
  </si>
  <si>
    <t>Average of Fees Collection</t>
  </si>
  <si>
    <t>ARDRA E B</t>
  </si>
  <si>
    <t>Average of Fee Paid in Commerce Dept</t>
  </si>
  <si>
    <t>ASHOK KUMAR A</t>
  </si>
  <si>
    <t>III Year</t>
  </si>
  <si>
    <t>Average of Fee Paid in Commerce Dept BCom(BA)</t>
  </si>
  <si>
    <t>CHARULATHA A</t>
  </si>
  <si>
    <t>Number of Student Fees Paid</t>
  </si>
  <si>
    <t>DEEPAK KUMAR M</t>
  </si>
  <si>
    <t>Number of Female Student in Commerce Dept</t>
  </si>
  <si>
    <t>DEESHA</t>
  </si>
  <si>
    <t>BCom(PA)</t>
  </si>
  <si>
    <t>Number of Students in Commerce - BCom(BA)</t>
  </si>
  <si>
    <t>DHARANI D</t>
  </si>
  <si>
    <t>DHARMARAJ G</t>
  </si>
  <si>
    <t>ELAKKIYA R</t>
  </si>
  <si>
    <t>GEETHA K</t>
  </si>
  <si>
    <t>GOPINATH M</t>
  </si>
  <si>
    <t>JEEVITHA S</t>
  </si>
  <si>
    <t>JOTHY MANI S</t>
  </si>
  <si>
    <t>JOHNSON A</t>
  </si>
  <si>
    <t>ASWANTH P</t>
  </si>
  <si>
    <t>Computer Studies</t>
  </si>
  <si>
    <t>B.Sc(CS)</t>
  </si>
  <si>
    <t>ATHULYA RAJESH</t>
  </si>
  <si>
    <t>BHUVANESHWARI S</t>
  </si>
  <si>
    <t>BASIL T</t>
  </si>
  <si>
    <t>BHARATH KUMAR J</t>
  </si>
  <si>
    <t>CELCIYA MARY J</t>
  </si>
  <si>
    <t>ELAKKIA G</t>
  </si>
  <si>
    <t>GOWTHAM K</t>
  </si>
  <si>
    <t>JERALD FELIX A</t>
  </si>
  <si>
    <t>SUM</t>
  </si>
  <si>
    <t>SUMIF</t>
  </si>
  <si>
    <t>SUMIFS</t>
  </si>
  <si>
    <t>AVERAGE</t>
  </si>
  <si>
    <t>AVERAGEIF</t>
  </si>
  <si>
    <t>COUNT</t>
  </si>
  <si>
    <t>AVERAGEIFS</t>
  </si>
  <si>
    <t>COUNTIF</t>
  </si>
  <si>
    <t>COUNTIFS</t>
  </si>
  <si>
    <t>Quantity</t>
  </si>
  <si>
    <t>Price</t>
  </si>
  <si>
    <t>Amount</t>
  </si>
  <si>
    <t>Computer</t>
  </si>
  <si>
    <t>Keyboard</t>
  </si>
  <si>
    <t>Mouse</t>
  </si>
  <si>
    <t>Printer</t>
  </si>
  <si>
    <t>Bill Amount</t>
  </si>
  <si>
    <t>Using SUMPRODUCT</t>
  </si>
  <si>
    <t>Commands Used</t>
  </si>
  <si>
    <t>NAME</t>
  </si>
  <si>
    <t>LAN</t>
  </si>
  <si>
    <t>ENG</t>
  </si>
  <si>
    <t>MATHS</t>
  </si>
  <si>
    <t>SCIENCE</t>
  </si>
  <si>
    <t>SOCIAL</t>
  </si>
  <si>
    <t>Charan</t>
  </si>
  <si>
    <t>Arun</t>
  </si>
  <si>
    <t>SUBJECT</t>
  </si>
  <si>
    <t>Balu</t>
  </si>
  <si>
    <t>MARKS</t>
  </si>
  <si>
    <t>David</t>
  </si>
  <si>
    <t>Gokul</t>
  </si>
  <si>
    <t>Hari</t>
  </si>
  <si>
    <t>ARUN KUMAR A</t>
  </si>
  <si>
    <t>SEMESTER</t>
  </si>
  <si>
    <t>I</t>
  </si>
  <si>
    <t>RESULT SCORE</t>
  </si>
  <si>
    <t>FAIL</t>
  </si>
  <si>
    <t>MARKS AWARED</t>
  </si>
  <si>
    <t>RESULT</t>
  </si>
  <si>
    <t>PASS</t>
  </si>
  <si>
    <t>LANGUAGE I</t>
  </si>
  <si>
    <t>ENGLISH</t>
  </si>
  <si>
    <t>BUSINESS MATHEMATICS</t>
  </si>
  <si>
    <t>FINANCIAL ACCOUNTING</t>
  </si>
  <si>
    <t>ABHINAV S</t>
  </si>
  <si>
    <t>FIRST CLASS</t>
  </si>
  <si>
    <t>DISTINCTION</t>
  </si>
  <si>
    <t>R.No</t>
  </si>
  <si>
    <t>Reg.No</t>
  </si>
  <si>
    <t>RN010101</t>
  </si>
  <si>
    <t>Akhila P</t>
  </si>
  <si>
    <t>RN010102</t>
  </si>
  <si>
    <t>Anirudh P</t>
  </si>
  <si>
    <t>RN010103</t>
  </si>
  <si>
    <t>Anju J</t>
  </si>
  <si>
    <t>RN010104</t>
  </si>
  <si>
    <t>Balu A</t>
  </si>
  <si>
    <t>RN010105</t>
  </si>
  <si>
    <t>Chandar C</t>
  </si>
  <si>
    <t>RN010106</t>
  </si>
  <si>
    <t>Elizabeth S</t>
  </si>
  <si>
    <t>RN010107</t>
  </si>
  <si>
    <t>Gayathri R</t>
  </si>
  <si>
    <t>RN010108</t>
  </si>
  <si>
    <t>Helen A</t>
  </si>
  <si>
    <t>RN010109</t>
  </si>
  <si>
    <t>Johnson A</t>
  </si>
  <si>
    <t>RN010110</t>
  </si>
  <si>
    <t>Xavier A</t>
  </si>
  <si>
    <t>Program</t>
  </si>
  <si>
    <t>Attenance</t>
  </si>
  <si>
    <t>Attenance Status</t>
  </si>
  <si>
    <t>Mechanical</t>
  </si>
  <si>
    <t>Data Science</t>
  </si>
  <si>
    <t>MBA</t>
  </si>
  <si>
    <t>MCA</t>
  </si>
  <si>
    <t>MSC</t>
  </si>
  <si>
    <t>Absent</t>
  </si>
  <si>
    <t>Present</t>
  </si>
  <si>
    <t>Asset Price</t>
  </si>
  <si>
    <t>Salvage Value</t>
  </si>
  <si>
    <t>Life in Years</t>
  </si>
  <si>
    <t>Straight Line Depreciation</t>
  </si>
  <si>
    <t>SLN</t>
  </si>
  <si>
    <t>DB</t>
  </si>
  <si>
    <t>Written Down Value Depreciation</t>
  </si>
  <si>
    <t>Beginning Value</t>
  </si>
  <si>
    <t>Depreciation</t>
  </si>
  <si>
    <t>Ending Value</t>
  </si>
  <si>
    <t>Declaining Balance</t>
  </si>
  <si>
    <t xml:space="preserve">Beginning Value </t>
  </si>
  <si>
    <t>Saving per year</t>
  </si>
  <si>
    <t>Investment Returns</t>
  </si>
  <si>
    <t>Years till retirement</t>
  </si>
  <si>
    <t>Future Value</t>
  </si>
  <si>
    <t>Capital Needed after 10 years</t>
  </si>
  <si>
    <t>Number of years</t>
  </si>
  <si>
    <t>Expected Return in Investments</t>
  </si>
  <si>
    <t>Lumpsum needed to be invested today</t>
  </si>
  <si>
    <t>Amount available today</t>
  </si>
  <si>
    <t>Annual Investments needed</t>
  </si>
  <si>
    <t>Sales in 2008</t>
  </si>
  <si>
    <t>Sales in 2015</t>
  </si>
  <si>
    <t>CAGR</t>
  </si>
  <si>
    <t>Date</t>
  </si>
  <si>
    <t>Jet Airways</t>
  </si>
  <si>
    <t>FUNCTIONS</t>
  </si>
  <si>
    <t>Average</t>
  </si>
  <si>
    <t>Max</t>
  </si>
  <si>
    <t>Min</t>
  </si>
  <si>
    <t>Standard Deviation</t>
  </si>
  <si>
    <t>STATISTICAL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</si>
</sst>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₹&quot;\ #,##0;[Red]&quot;₹&quot;\ \-#,##0"/>
    <numFmt numFmtId="8" formatCode="&quot;₹&quot;\ #,##0.00;[Red]&quot;₹&quot;\ \-#,##0.00"/>
    <numFmt numFmtId="164" formatCode="&quot;₹&quot;\ #,##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140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6" fontId="0" fillId="0" borderId="1" xfId="0" applyNumberFormat="1" applyBorder="1" applyAlignment="1">
      <alignment horizontal="center" wrapText="1"/>
    </xf>
    <xf numFmtId="6" fontId="0" fillId="0" borderId="0" xfId="0" applyNumberForma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6" fontId="0" fillId="0" borderId="1" xfId="0" applyNumberForma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8" fontId="2" fillId="6" borderId="1" xfId="0" applyNumberFormat="1" applyFont="1" applyFill="1" applyBorder="1" applyAlignment="1">
      <alignment horizontal="right" wrapText="1"/>
    </xf>
    <xf numFmtId="0" fontId="0" fillId="7" borderId="1" xfId="0" applyFill="1" applyBorder="1" applyAlignment="1">
      <alignment wrapText="1"/>
    </xf>
    <xf numFmtId="8" fontId="2" fillId="7" borderId="1" xfId="0" applyNumberFormat="1" applyFont="1" applyFill="1" applyBorder="1" applyAlignment="1">
      <alignment horizontal="right" wrapText="1"/>
    </xf>
    <xf numFmtId="8" fontId="0" fillId="7" borderId="1" xfId="0" applyNumberFormat="1" applyFill="1" applyBorder="1" applyAlignment="1">
      <alignment horizontal="center" wrapText="1"/>
    </xf>
    <xf numFmtId="8" fontId="0" fillId="6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8" fontId="0" fillId="3" borderId="1" xfId="0" applyNumberFormat="1" applyFill="1" applyBorder="1" applyAlignment="1">
      <alignment horizontal="right" wrapText="1"/>
    </xf>
    <xf numFmtId="8" fontId="0" fillId="4" borderId="1" xfId="0" applyNumberFormat="1" applyFill="1" applyBorder="1" applyAlignment="1">
      <alignment horizontal="right" wrapText="1"/>
    </xf>
    <xf numFmtId="8" fontId="0" fillId="2" borderId="1" xfId="0" applyNumberFormat="1" applyFill="1" applyBorder="1" applyAlignment="1">
      <alignment horizontal="right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3" fontId="2" fillId="0" borderId="5" xfId="0" applyNumberFormat="1" applyFont="1" applyBorder="1" applyAlignment="1">
      <alignment horizontal="right" wrapText="1"/>
    </xf>
    <xf numFmtId="3" fontId="2" fillId="0" borderId="7" xfId="0" applyNumberFormat="1" applyFont="1" applyBorder="1" applyAlignment="1">
      <alignment horizontal="right" wrapText="1"/>
    </xf>
    <xf numFmtId="0" fontId="0" fillId="0" borderId="0" xfId="0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 wrapText="1"/>
    </xf>
    <xf numFmtId="0" fontId="5" fillId="8" borderId="1" xfId="0" applyFont="1" applyFill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0" fontId="10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0" fontId="6" fillId="10" borderId="1" xfId="0" applyFont="1" applyFill="1" applyBorder="1" applyAlignment="1">
      <alignment horizontal="right" wrapText="1"/>
    </xf>
    <xf numFmtId="0" fontId="7" fillId="0" borderId="7" xfId="0" applyFont="1" applyBorder="1" applyAlignment="1">
      <alignment horizontal="right" wrapText="1"/>
    </xf>
    <xf numFmtId="0" fontId="7" fillId="11" borderId="7" xfId="0" applyFont="1" applyFill="1" applyBorder="1" applyAlignment="1">
      <alignment horizontal="right" wrapText="1"/>
    </xf>
    <xf numFmtId="0" fontId="7" fillId="0" borderId="9" xfId="0" applyFont="1" applyBorder="1" applyAlignment="1">
      <alignment horizontal="right" wrapText="1"/>
    </xf>
    <xf numFmtId="0" fontId="7" fillId="0" borderId="10" xfId="0" applyFont="1" applyBorder="1" applyAlignment="1">
      <alignment horizontal="right" wrapText="1"/>
    </xf>
    <xf numFmtId="0" fontId="7" fillId="0" borderId="11" xfId="0" applyFont="1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0" fillId="0" borderId="14" xfId="0" applyBorder="1" applyAlignment="1">
      <alignment wrapText="1"/>
    </xf>
    <xf numFmtId="0" fontId="7" fillId="0" borderId="1" xfId="0" applyFont="1" applyBorder="1" applyAlignment="1">
      <alignment wrapText="1"/>
    </xf>
    <xf numFmtId="0" fontId="11" fillId="0" borderId="15" xfId="0" applyFont="1" applyBorder="1" applyAlignment="1">
      <alignment horizontal="center" wrapText="1"/>
    </xf>
    <xf numFmtId="0" fontId="11" fillId="0" borderId="16" xfId="0" applyFont="1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0" fontId="11" fillId="0" borderId="16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8" fillId="11" borderId="16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13" fillId="10" borderId="10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6" fillId="10" borderId="7" xfId="0" applyFont="1" applyFill="1" applyBorder="1" applyAlignment="1">
      <alignment horizontal="right" vertical="center" wrapText="1"/>
    </xf>
    <xf numFmtId="3" fontId="0" fillId="0" borderId="1" xfId="0" applyNumberFormat="1" applyBorder="1" applyAlignment="1">
      <alignment horizontal="right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8" fontId="0" fillId="0" borderId="1" xfId="0" applyNumberFormat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 wrapText="1"/>
    </xf>
    <xf numFmtId="0" fontId="1" fillId="13" borderId="1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horizontal="right" vertical="center" wrapText="1"/>
    </xf>
    <xf numFmtId="0" fontId="1" fillId="15" borderId="0" xfId="0" applyFont="1" applyFill="1" applyAlignment="1">
      <alignment horizontal="right"/>
    </xf>
    <xf numFmtId="8" fontId="0" fillId="0" borderId="0" xfId="0" applyNumberFormat="1" applyAlignment="1">
      <alignment horizontal="right"/>
    </xf>
    <xf numFmtId="0" fontId="1" fillId="9" borderId="0" xfId="0" applyFont="1" applyFill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164" fontId="15" fillId="0" borderId="0" xfId="0" applyNumberFormat="1" applyFont="1"/>
    <xf numFmtId="9" fontId="0" fillId="0" borderId="1" xfId="0" applyNumberFormat="1" applyBorder="1" applyAlignment="1">
      <alignment horizontal="right" wrapText="1"/>
    </xf>
    <xf numFmtId="9" fontId="0" fillId="0" borderId="1" xfId="0" applyNumberFormat="1" applyBorder="1" applyAlignment="1">
      <alignment horizontal="right" vertical="center" wrapText="1"/>
    </xf>
    <xf numFmtId="0" fontId="16" fillId="0" borderId="1" xfId="0" applyFont="1" applyBorder="1" applyAlignment="1">
      <alignment horizontal="right" wrapText="1"/>
    </xf>
    <xf numFmtId="0" fontId="16" fillId="9" borderId="1" xfId="0" applyFont="1" applyFill="1" applyBorder="1" applyAlignment="1">
      <alignment horizontal="right" wrapText="1"/>
    </xf>
    <xf numFmtId="3" fontId="17" fillId="14" borderId="1" xfId="0" applyNumberFormat="1" applyFont="1" applyFill="1" applyBorder="1" applyAlignment="1">
      <alignment horizontal="right" wrapText="1"/>
    </xf>
    <xf numFmtId="8" fontId="17" fillId="14" borderId="0" xfId="0" applyNumberFormat="1" applyFont="1" applyFill="1"/>
    <xf numFmtId="6" fontId="0" fillId="0" borderId="1" xfId="0" applyNumberForma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wrapText="1"/>
    </xf>
    <xf numFmtId="8" fontId="1" fillId="16" borderId="1" xfId="0" applyNumberFormat="1" applyFont="1" applyFill="1" applyBorder="1" applyAlignment="1">
      <alignment horizontal="right" vertical="center" wrapText="1"/>
    </xf>
    <xf numFmtId="8" fontId="1" fillId="16" borderId="0" xfId="0" applyNumberFormat="1" applyFont="1" applyFill="1"/>
    <xf numFmtId="15" fontId="0" fillId="0" borderId="1" xfId="0" applyNumberFormat="1" applyBorder="1" applyAlignment="1">
      <alignment horizontal="right" wrapText="1"/>
    </xf>
    <xf numFmtId="0" fontId="19" fillId="15" borderId="1" xfId="0" applyFont="1" applyFill="1" applyBorder="1" applyAlignment="1">
      <alignment wrapText="1"/>
    </xf>
    <xf numFmtId="0" fontId="19" fillId="15" borderId="1" xfId="0" applyFont="1" applyFill="1" applyBorder="1" applyAlignment="1">
      <alignment vertical="center"/>
    </xf>
    <xf numFmtId="0" fontId="20" fillId="17" borderId="0" xfId="0" applyFont="1" applyFill="1" applyAlignment="1">
      <alignment horizontal="right"/>
    </xf>
    <xf numFmtId="0" fontId="20" fillId="17" borderId="0" xfId="0" applyFont="1" applyFill="1"/>
    <xf numFmtId="0" fontId="21" fillId="17" borderId="0" xfId="0" applyFont="1" applyFill="1"/>
    <xf numFmtId="2" fontId="22" fillId="18" borderId="0" xfId="0" applyNumberFormat="1" applyFont="1" applyFill="1"/>
    <xf numFmtId="2" fontId="23" fillId="18" borderId="0" xfId="0" applyNumberFormat="1" applyFont="1" applyFill="1"/>
    <xf numFmtId="10" fontId="0" fillId="0" borderId="1" xfId="1" applyNumberFormat="1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wrapText="1"/>
    </xf>
    <xf numFmtId="0" fontId="7" fillId="0" borderId="13" xfId="0" applyFont="1" applyBorder="1" applyAlignment="1">
      <alignment horizontal="right" wrapText="1"/>
    </xf>
    <xf numFmtId="0" fontId="7" fillId="0" borderId="6" xfId="0" applyFont="1" applyBorder="1" applyAlignment="1">
      <alignment horizontal="right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12" fillId="8" borderId="21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533400</xdr:colOff>
      <xdr:row>2</xdr:row>
      <xdr:rowOff>123825</xdr:rowOff>
    </xdr:to>
    <xdr:sp macro="" textlink="">
      <xdr:nvSpPr>
        <xdr:cNvPr id="6145" name="AutoShape 1" descr="filesystem:https://docs.google.com/persistent/docs/documents/1dzuIgjPnKOBELfOZ8f3MOjCNBfdtQAPu/image/1F8XNMU3UjTIKs0DRzgja9hrMB0qX9pggVKVrj3Xg8iRtpzGuYw"/>
        <xdr:cNvSpPr>
          <a:spLocks noChangeAspect="1" noChangeArrowheads="1"/>
        </xdr:cNvSpPr>
      </xdr:nvSpPr>
      <xdr:spPr bwMode="auto">
        <a:xfrm>
          <a:off x="3009900" y="200025"/>
          <a:ext cx="5334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1</xdr:row>
      <xdr:rowOff>0</xdr:rowOff>
    </xdr:from>
    <xdr:ext cx="533400" cy="361950"/>
    <xdr:sp macro="" textlink="">
      <xdr:nvSpPr>
        <xdr:cNvPr id="3" name="AutoShape 1" descr="filesystem:https://docs.google.com/persistent/docs/documents/1dzuIgjPnKOBELfOZ8f3MOjCNBfdtQAPu/image/1F8XNMU3UjTIKs0DRzgja9hrMB0qX9pggVKVrj3Xg8iRtpzGuYw"/>
        <xdr:cNvSpPr>
          <a:spLocks noChangeAspect="1" noChangeArrowheads="1"/>
        </xdr:cNvSpPr>
      </xdr:nvSpPr>
      <xdr:spPr bwMode="auto">
        <a:xfrm>
          <a:off x="3009900" y="200025"/>
          <a:ext cx="5334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11</xdr:row>
      <xdr:rowOff>0</xdr:rowOff>
    </xdr:from>
    <xdr:to>
      <xdr:col>0</xdr:col>
      <xdr:colOff>533400</xdr:colOff>
      <xdr:row>12</xdr:row>
      <xdr:rowOff>104775</xdr:rowOff>
    </xdr:to>
    <xdr:sp macro="" textlink="">
      <xdr:nvSpPr>
        <xdr:cNvPr id="6146" name="AutoShape 2" descr="filesystem:https://docs.google.com/persistent/docs/documents/1dzuIgjPnKOBELfOZ8f3MOjCNBfdtQAPu/image/1F8XNMU3UjTIKs0DRzgja9hrMB0qX9pggVKVrj3Xg8iRtpzGuYw"/>
        <xdr:cNvSpPr>
          <a:spLocks noChangeAspect="1" noChangeArrowheads="1"/>
        </xdr:cNvSpPr>
      </xdr:nvSpPr>
      <xdr:spPr bwMode="auto">
        <a:xfrm>
          <a:off x="0" y="2286000"/>
          <a:ext cx="5334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Q5" sqref="Q5"/>
    </sheetView>
  </sheetViews>
  <sheetFormatPr defaultRowHeight="15" x14ac:dyDescent="0.25"/>
  <sheetData>
    <row r="1" spans="1:15" ht="15.75" thickBot="1" x14ac:dyDescent="0.3">
      <c r="A1" s="1"/>
      <c r="B1" s="2">
        <v>2013</v>
      </c>
      <c r="C1" s="119" t="s">
        <v>0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1"/>
    </row>
    <row r="2" spans="1:15" ht="15.75" thickBot="1" x14ac:dyDescent="0.3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4</v>
      </c>
      <c r="H2" s="2" t="s">
        <v>5</v>
      </c>
      <c r="I2" s="2" t="s">
        <v>7</v>
      </c>
      <c r="J2" s="2" t="s">
        <v>4</v>
      </c>
      <c r="K2" s="2" t="s">
        <v>5</v>
      </c>
      <c r="L2" s="2" t="s">
        <v>2</v>
      </c>
      <c r="M2" s="2" t="s">
        <v>4</v>
      </c>
      <c r="N2" s="2" t="s">
        <v>5</v>
      </c>
      <c r="O2" s="4"/>
    </row>
    <row r="3" spans="1:15" ht="15.75" thickBot="1" x14ac:dyDescent="0.3">
      <c r="A3" s="1" t="s">
        <v>8</v>
      </c>
      <c r="B3" s="7">
        <v>32</v>
      </c>
      <c r="C3" s="7">
        <v>33</v>
      </c>
      <c r="D3" s="4">
        <v>33</v>
      </c>
      <c r="E3" s="4">
        <v>1</v>
      </c>
      <c r="F3" s="7">
        <v>81</v>
      </c>
      <c r="G3" s="4">
        <v>81</v>
      </c>
      <c r="H3" s="4">
        <v>48</v>
      </c>
      <c r="I3" s="7">
        <v>72</v>
      </c>
      <c r="J3" s="4">
        <v>72</v>
      </c>
      <c r="K3" s="4">
        <v>-9</v>
      </c>
      <c r="L3" s="7">
        <v>56</v>
      </c>
      <c r="M3" s="4">
        <v>56</v>
      </c>
      <c r="N3" s="4">
        <v>-16</v>
      </c>
      <c r="O3" s="4"/>
    </row>
    <row r="4" spans="1:15" ht="30.75" thickBot="1" x14ac:dyDescent="0.3">
      <c r="A4" s="1" t="s">
        <v>9</v>
      </c>
      <c r="B4" s="7">
        <v>26</v>
      </c>
      <c r="C4" s="7">
        <v>29</v>
      </c>
      <c r="D4" s="4">
        <v>29</v>
      </c>
      <c r="E4" s="4">
        <v>3</v>
      </c>
      <c r="F4" s="7">
        <v>30</v>
      </c>
      <c r="G4" s="4">
        <v>30</v>
      </c>
      <c r="H4" s="4">
        <v>1</v>
      </c>
      <c r="I4" s="7">
        <v>42</v>
      </c>
      <c r="J4" s="4">
        <v>42</v>
      </c>
      <c r="K4" s="4">
        <v>12</v>
      </c>
      <c r="L4" s="7">
        <v>69</v>
      </c>
      <c r="M4" s="4">
        <v>69</v>
      </c>
      <c r="N4" s="4">
        <v>27</v>
      </c>
      <c r="O4" s="4"/>
    </row>
    <row r="5" spans="1:15" ht="15.75" thickBot="1" x14ac:dyDescent="0.3">
      <c r="A5" s="1" t="s">
        <v>10</v>
      </c>
      <c r="B5" s="7">
        <v>49</v>
      </c>
      <c r="C5" s="7">
        <v>62</v>
      </c>
      <c r="D5" s="4">
        <v>62</v>
      </c>
      <c r="E5" s="4">
        <v>13</v>
      </c>
      <c r="F5" s="7">
        <v>70</v>
      </c>
      <c r="G5" s="4">
        <v>70</v>
      </c>
      <c r="H5" s="4">
        <v>8</v>
      </c>
      <c r="I5" s="7">
        <v>43</v>
      </c>
      <c r="J5" s="4">
        <v>43</v>
      </c>
      <c r="K5" s="4">
        <v>-27</v>
      </c>
      <c r="L5" s="7">
        <v>63</v>
      </c>
      <c r="M5" s="4">
        <v>63</v>
      </c>
      <c r="N5" s="4">
        <v>20</v>
      </c>
      <c r="O5" s="4"/>
    </row>
    <row r="6" spans="1:15" ht="15.75" thickBot="1" x14ac:dyDescent="0.3">
      <c r="A6" s="1" t="s">
        <v>11</v>
      </c>
      <c r="B6" s="7">
        <v>22</v>
      </c>
      <c r="C6" s="7">
        <v>64</v>
      </c>
      <c r="D6" s="4">
        <v>64</v>
      </c>
      <c r="E6" s="4">
        <v>42</v>
      </c>
      <c r="F6" s="7">
        <v>78</v>
      </c>
      <c r="G6" s="4">
        <v>78</v>
      </c>
      <c r="H6" s="4">
        <v>14</v>
      </c>
      <c r="I6" s="7">
        <v>38</v>
      </c>
      <c r="J6" s="4">
        <v>38</v>
      </c>
      <c r="K6" s="4">
        <v>-40</v>
      </c>
      <c r="L6" s="7">
        <v>45</v>
      </c>
      <c r="M6" s="4">
        <v>45</v>
      </c>
      <c r="N6" s="4">
        <v>7</v>
      </c>
      <c r="O6" s="4"/>
    </row>
    <row r="7" spans="1:15" ht="30.75" thickBot="1" x14ac:dyDescent="0.3">
      <c r="A7" s="1" t="s">
        <v>12</v>
      </c>
      <c r="B7" s="7">
        <v>11</v>
      </c>
      <c r="C7" s="7">
        <v>67</v>
      </c>
      <c r="D7" s="4">
        <v>67</v>
      </c>
      <c r="E7" s="4">
        <v>56</v>
      </c>
      <c r="F7" s="7">
        <v>77</v>
      </c>
      <c r="G7" s="4">
        <v>77</v>
      </c>
      <c r="H7" s="4">
        <v>10</v>
      </c>
      <c r="I7" s="7">
        <v>35</v>
      </c>
      <c r="J7" s="4">
        <v>35</v>
      </c>
      <c r="K7" s="4">
        <v>-42</v>
      </c>
      <c r="L7" s="7">
        <v>76</v>
      </c>
      <c r="M7" s="4">
        <v>76</v>
      </c>
      <c r="N7" s="4">
        <v>41</v>
      </c>
    </row>
    <row r="9" spans="1:15" ht="15.75" thickBot="1" x14ac:dyDescent="0.3"/>
    <row r="10" spans="1:15" ht="15.75" thickBot="1" x14ac:dyDescent="0.3">
      <c r="H10" s="4"/>
      <c r="J10" s="6"/>
    </row>
    <row r="11" spans="1:15" ht="15.75" thickBot="1" x14ac:dyDescent="0.3">
      <c r="H11" s="4"/>
      <c r="J11" s="6"/>
    </row>
    <row r="12" spans="1:15" ht="15.75" thickBot="1" x14ac:dyDescent="0.3">
      <c r="H12" s="4"/>
    </row>
    <row r="13" spans="1:15" ht="15.75" thickBot="1" x14ac:dyDescent="0.3">
      <c r="H13" s="4"/>
    </row>
    <row r="14" spans="1:15" x14ac:dyDescent="0.25">
      <c r="H14" s="5"/>
    </row>
  </sheetData>
  <mergeCells count="1">
    <mergeCell ref="C1:N1"/>
  </mergeCells>
  <conditionalFormatting sqref="O2:O6">
    <cfRule type="iconSet" priority="20">
      <iconSet iconSet="3Flags" showValue="0">
        <cfvo type="percent" val="0"/>
        <cfvo type="num" val="20"/>
        <cfvo type="num" val="50"/>
      </iconSet>
    </cfRule>
  </conditionalFormatting>
  <conditionalFormatting sqref="H10:H14">
    <cfRule type="iconSet" priority="19">
      <iconSet iconSet="3Flags" showValue="0">
        <cfvo type="percent" val="0"/>
        <cfvo type="num" val="20"/>
        <cfvo type="num" val="50"/>
      </iconSet>
    </cfRule>
  </conditionalFormatting>
  <conditionalFormatting sqref="D3:D7">
    <cfRule type="iconSet" priority="9">
      <iconSet iconSet="3Flags" showValue="0">
        <cfvo type="percent" val="0"/>
        <cfvo type="num" val="20"/>
        <cfvo type="num" val="50"/>
      </iconSet>
    </cfRule>
    <cfRule type="iconSet" priority="10">
      <iconSet iconSet="3Flags">
        <cfvo type="percent" val="0"/>
        <cfvo type="num" val="20"/>
        <cfvo type="num" val="50"/>
      </iconSet>
    </cfRule>
  </conditionalFormatting>
  <conditionalFormatting sqref="G3:G7">
    <cfRule type="iconSet" priority="8">
      <iconSet iconSet="3Flags" showValue="0">
        <cfvo type="percent" val="0"/>
        <cfvo type="num" val="20"/>
        <cfvo type="num" val="50"/>
      </iconSet>
    </cfRule>
  </conditionalFormatting>
  <conditionalFormatting sqref="J3:J7">
    <cfRule type="iconSet" priority="5">
      <iconSet iconSet="3Flags" showValue="0">
        <cfvo type="percent" val="0"/>
        <cfvo type="num" val="20"/>
        <cfvo type="num" val="50"/>
      </iconSet>
    </cfRule>
    <cfRule type="iconSet" priority="7">
      <iconSet iconSet="3Flags">
        <cfvo type="percent" val="0"/>
        <cfvo type="num" val="20"/>
        <cfvo type="num" val="50"/>
      </iconSet>
    </cfRule>
  </conditionalFormatting>
  <conditionalFormatting sqref="M3:M7">
    <cfRule type="iconSet" priority="6">
      <iconSet iconSet="3Flags" showValue="0">
        <cfvo type="percent" val="0"/>
        <cfvo type="num" val="20"/>
        <cfvo type="num" val="50"/>
      </iconSet>
    </cfRule>
  </conditionalFormatting>
  <conditionalFormatting sqref="E3:E7">
    <cfRule type="iconSet" priority="4">
      <iconSet iconSet="3Arrows" showValue="0">
        <cfvo type="percent" val="0"/>
        <cfvo type="num" val="0"/>
        <cfvo type="num" val="5"/>
      </iconSet>
    </cfRule>
  </conditionalFormatting>
  <conditionalFormatting sqref="H3:H7">
    <cfRule type="iconSet" priority="3">
      <iconSet iconSet="3Arrows" showValue="0">
        <cfvo type="percent" val="0"/>
        <cfvo type="num" val="0"/>
        <cfvo type="num" val="5"/>
      </iconSet>
    </cfRule>
  </conditionalFormatting>
  <conditionalFormatting sqref="K3:K7">
    <cfRule type="iconSet" priority="2">
      <iconSet iconSet="3Arrows" showValue="0">
        <cfvo type="percent" val="0"/>
        <cfvo type="num" val="0"/>
        <cfvo type="num" val="5"/>
      </iconSet>
    </cfRule>
  </conditionalFormatting>
  <conditionalFormatting sqref="N3:N7">
    <cfRule type="iconSet" priority="1">
      <iconSet iconSet="3Arrows" showValue="0">
        <cfvo type="percent" val="0"/>
        <cfvo type="num" val="0"/>
        <cfvo type="num" val="5"/>
      </iconSet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J3" sqref="J3"/>
    </sheetView>
  </sheetViews>
  <sheetFormatPr defaultRowHeight="15" x14ac:dyDescent="0.25"/>
  <sheetData>
    <row r="1" spans="1:7" ht="45.75" thickBot="1" x14ac:dyDescent="0.3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</row>
    <row r="2" spans="1:7" ht="30.75" thickBot="1" x14ac:dyDescent="0.3">
      <c r="A2" s="9" t="s">
        <v>20</v>
      </c>
      <c r="B2" s="10">
        <v>5</v>
      </c>
      <c r="C2" s="10">
        <v>1</v>
      </c>
      <c r="D2" s="10">
        <v>1</v>
      </c>
      <c r="E2" s="10">
        <v>2</v>
      </c>
      <c r="F2" s="10">
        <v>3</v>
      </c>
      <c r="G2" s="10">
        <v>2.4</v>
      </c>
    </row>
    <row r="3" spans="1:7" ht="30.75" thickBot="1" x14ac:dyDescent="0.3">
      <c r="A3" s="11" t="s">
        <v>21</v>
      </c>
      <c r="B3" s="12">
        <v>4</v>
      </c>
      <c r="C3" s="12">
        <v>3</v>
      </c>
      <c r="D3" s="12">
        <v>3</v>
      </c>
      <c r="E3" s="12">
        <v>5</v>
      </c>
      <c r="F3" s="12">
        <v>4</v>
      </c>
      <c r="G3" s="12">
        <v>3.8</v>
      </c>
    </row>
    <row r="4" spans="1:7" ht="15.75" thickBot="1" x14ac:dyDescent="0.3">
      <c r="A4" s="9" t="s">
        <v>22</v>
      </c>
      <c r="B4" s="10">
        <v>3</v>
      </c>
      <c r="C4" s="10">
        <v>3</v>
      </c>
      <c r="D4" s="10">
        <v>3</v>
      </c>
      <c r="E4" s="10">
        <v>3</v>
      </c>
      <c r="F4" s="10">
        <v>2</v>
      </c>
      <c r="G4" s="10">
        <v>2.8</v>
      </c>
    </row>
    <row r="5" spans="1:7" ht="30.75" thickBot="1" x14ac:dyDescent="0.3">
      <c r="A5" s="11" t="s">
        <v>23</v>
      </c>
      <c r="B5" s="12">
        <v>3</v>
      </c>
      <c r="C5" s="12">
        <v>1</v>
      </c>
      <c r="D5" s="12">
        <v>1</v>
      </c>
      <c r="E5" s="12">
        <v>2</v>
      </c>
      <c r="F5" s="12">
        <v>1</v>
      </c>
      <c r="G5" s="12">
        <v>1.6</v>
      </c>
    </row>
    <row r="6" spans="1:7" ht="30.75" thickBot="1" x14ac:dyDescent="0.3">
      <c r="A6" s="9" t="s">
        <v>24</v>
      </c>
      <c r="B6" s="10">
        <v>2</v>
      </c>
      <c r="C6" s="10">
        <v>3</v>
      </c>
      <c r="D6" s="10">
        <v>3</v>
      </c>
      <c r="E6" s="10">
        <v>4</v>
      </c>
      <c r="F6" s="10">
        <v>2</v>
      </c>
      <c r="G6" s="10">
        <v>2.8</v>
      </c>
    </row>
    <row r="7" spans="1:7" ht="15.75" thickBot="1" x14ac:dyDescent="0.3">
      <c r="A7" s="11" t="s">
        <v>25</v>
      </c>
      <c r="B7" s="12">
        <v>3</v>
      </c>
      <c r="C7" s="12">
        <v>2</v>
      </c>
      <c r="D7" s="12">
        <v>2</v>
      </c>
      <c r="E7" s="12">
        <v>1</v>
      </c>
      <c r="F7" s="12">
        <v>5</v>
      </c>
      <c r="G7" s="12">
        <v>2.6</v>
      </c>
    </row>
  </sheetData>
  <conditionalFormatting sqref="B2:G7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4" sqref="C4"/>
    </sheetView>
  </sheetViews>
  <sheetFormatPr defaultRowHeight="15" x14ac:dyDescent="0.25"/>
  <cols>
    <col min="1" max="1" width="15.5703125" customWidth="1"/>
    <col min="2" max="2" width="15.42578125" customWidth="1"/>
    <col min="3" max="3" width="12.140625" customWidth="1"/>
  </cols>
  <sheetData>
    <row r="1" spans="1:3" ht="15.75" thickBot="1" x14ac:dyDescent="0.3"/>
    <row r="2" spans="1:3" ht="15.75" thickBot="1" x14ac:dyDescent="0.3">
      <c r="A2" s="13" t="s">
        <v>39</v>
      </c>
      <c r="B2" s="13" t="s">
        <v>26</v>
      </c>
      <c r="C2" s="13" t="s">
        <v>5</v>
      </c>
    </row>
    <row r="3" spans="1:3" ht="15.75" thickBot="1" x14ac:dyDescent="0.3">
      <c r="A3" s="14" t="s">
        <v>27</v>
      </c>
      <c r="B3" s="15">
        <v>5000</v>
      </c>
      <c r="C3" s="14"/>
    </row>
    <row r="4" spans="1:3" ht="15.75" thickBot="1" x14ac:dyDescent="0.3">
      <c r="A4" s="16" t="s">
        <v>28</v>
      </c>
      <c r="B4" s="17">
        <v>7000</v>
      </c>
      <c r="C4" s="18">
        <v>2000</v>
      </c>
    </row>
    <row r="5" spans="1:3" ht="15.75" thickBot="1" x14ac:dyDescent="0.3">
      <c r="A5" s="14" t="s">
        <v>29</v>
      </c>
      <c r="B5" s="15">
        <v>10000</v>
      </c>
      <c r="C5" s="19">
        <v>3000</v>
      </c>
    </row>
    <row r="6" spans="1:3" ht="15.75" thickBot="1" x14ac:dyDescent="0.3">
      <c r="A6" s="16" t="s">
        <v>30</v>
      </c>
      <c r="B6" s="17">
        <v>2500</v>
      </c>
      <c r="C6" s="18">
        <v>-7500</v>
      </c>
    </row>
    <row r="7" spans="1:3" ht="15.75" thickBot="1" x14ac:dyDescent="0.3">
      <c r="A7" s="14" t="s">
        <v>31</v>
      </c>
      <c r="B7" s="15">
        <v>4000</v>
      </c>
      <c r="C7" s="19">
        <v>1500</v>
      </c>
    </row>
    <row r="8" spans="1:3" ht="15.75" thickBot="1" x14ac:dyDescent="0.3">
      <c r="A8" s="16" t="s">
        <v>32</v>
      </c>
      <c r="B8" s="17">
        <v>9800</v>
      </c>
      <c r="C8" s="18">
        <v>5800</v>
      </c>
    </row>
    <row r="9" spans="1:3" ht="15.75" thickBot="1" x14ac:dyDescent="0.3">
      <c r="A9" s="14" t="s">
        <v>33</v>
      </c>
      <c r="B9" s="15">
        <v>5400</v>
      </c>
      <c r="C9" s="19">
        <v>-4400</v>
      </c>
    </row>
    <row r="10" spans="1:3" ht="15.75" thickBot="1" x14ac:dyDescent="0.3">
      <c r="A10" s="16" t="s">
        <v>34</v>
      </c>
      <c r="B10" s="17">
        <v>6700</v>
      </c>
      <c r="C10" s="18">
        <v>1300</v>
      </c>
    </row>
    <row r="11" spans="1:3" ht="15.75" thickBot="1" x14ac:dyDescent="0.3">
      <c r="A11" s="14" t="s">
        <v>35</v>
      </c>
      <c r="B11" s="15">
        <v>4300</v>
      </c>
      <c r="C11" s="19">
        <v>-2400</v>
      </c>
    </row>
    <row r="12" spans="1:3" ht="15.75" thickBot="1" x14ac:dyDescent="0.3">
      <c r="A12" s="16" t="s">
        <v>36</v>
      </c>
      <c r="B12" s="17">
        <v>11000</v>
      </c>
      <c r="C12" s="18">
        <v>6700</v>
      </c>
    </row>
    <row r="13" spans="1:3" ht="15.75" thickBot="1" x14ac:dyDescent="0.3">
      <c r="A13" s="14" t="s">
        <v>37</v>
      </c>
      <c r="B13" s="15">
        <v>12500</v>
      </c>
      <c r="C13" s="19">
        <v>1500</v>
      </c>
    </row>
    <row r="14" spans="1:3" ht="15.75" thickBot="1" x14ac:dyDescent="0.3">
      <c r="A14" s="16" t="s">
        <v>38</v>
      </c>
      <c r="B14" s="17">
        <v>9800</v>
      </c>
      <c r="C14" s="18">
        <v>-2700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0AF1408-46D8-4449-BB22-7DE1DAD10F51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2000</xm:f>
              </x14:cfvo>
            </x14:iconSet>
          </x14:cfRule>
          <xm:sqref>C3:C14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5" sqref="B5"/>
    </sheetView>
  </sheetViews>
  <sheetFormatPr defaultRowHeight="15" x14ac:dyDescent="0.25"/>
  <cols>
    <col min="1" max="1" width="19.42578125" customWidth="1"/>
    <col min="2" max="2" width="22.28515625" customWidth="1"/>
  </cols>
  <sheetData>
    <row r="1" spans="1:2" ht="15.75" thickBot="1" x14ac:dyDescent="0.3"/>
    <row r="2" spans="1:2" ht="15.75" thickBot="1" x14ac:dyDescent="0.3">
      <c r="A2" s="1"/>
      <c r="B2" s="1"/>
    </row>
    <row r="3" spans="1:2" ht="15.75" thickBot="1" x14ac:dyDescent="0.3">
      <c r="A3" s="20" t="s">
        <v>40</v>
      </c>
      <c r="B3" s="20" t="s">
        <v>41</v>
      </c>
    </row>
    <row r="4" spans="1:2" ht="15.75" thickBot="1" x14ac:dyDescent="0.3">
      <c r="A4" s="9" t="s">
        <v>42</v>
      </c>
      <c r="B4" s="21">
        <v>90000001</v>
      </c>
    </row>
    <row r="5" spans="1:2" ht="15.75" thickBot="1" x14ac:dyDescent="0.3">
      <c r="A5" s="11" t="s">
        <v>43</v>
      </c>
      <c r="B5" s="22">
        <v>534389</v>
      </c>
    </row>
    <row r="6" spans="1:2" ht="15.75" thickBot="1" x14ac:dyDescent="0.3">
      <c r="A6" s="9" t="s">
        <v>44</v>
      </c>
      <c r="B6" s="21">
        <v>1009268</v>
      </c>
    </row>
    <row r="7" spans="1:2" ht="15.75" thickBot="1" x14ac:dyDescent="0.3">
      <c r="A7" s="11" t="s">
        <v>45</v>
      </c>
      <c r="B7" s="22">
        <v>899999</v>
      </c>
    </row>
    <row r="8" spans="1:2" ht="15.75" thickBot="1" x14ac:dyDescent="0.3">
      <c r="A8" s="9" t="s">
        <v>46</v>
      </c>
      <c r="B8" s="21">
        <v>2345184</v>
      </c>
    </row>
    <row r="9" spans="1:2" ht="15.75" thickBot="1" x14ac:dyDescent="0.3">
      <c r="A9" s="11" t="s">
        <v>47</v>
      </c>
      <c r="B9" s="22">
        <v>900000</v>
      </c>
    </row>
    <row r="10" spans="1:2" ht="15.75" thickBot="1" x14ac:dyDescent="0.3">
      <c r="A10" s="9" t="s">
        <v>48</v>
      </c>
      <c r="B10" s="21">
        <v>1567090</v>
      </c>
    </row>
    <row r="11" spans="1:2" ht="15.75" thickBot="1" x14ac:dyDescent="0.3">
      <c r="A11" s="11" t="s">
        <v>49</v>
      </c>
      <c r="B11" s="22">
        <v>34678</v>
      </c>
    </row>
    <row r="12" spans="1:2" ht="15.75" thickBot="1" x14ac:dyDescent="0.3">
      <c r="A12" s="20" t="s">
        <v>50</v>
      </c>
      <c r="B12" s="23">
        <v>97290609</v>
      </c>
    </row>
  </sheetData>
  <conditionalFormatting sqref="B3:B12">
    <cfRule type="iconSet" priority="1">
      <iconSet>
        <cfvo type="percent" val="0"/>
        <cfvo type="num" val="1000000"/>
        <cfvo type="num" val="9000000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H2" sqref="H2"/>
    </sheetView>
  </sheetViews>
  <sheetFormatPr defaultRowHeight="15" x14ac:dyDescent="0.25"/>
  <cols>
    <col min="1" max="1" width="20.85546875" customWidth="1"/>
    <col min="2" max="2" width="17.85546875" customWidth="1"/>
    <col min="3" max="3" width="9.140625" style="30"/>
    <col min="4" max="4" width="28" customWidth="1"/>
    <col min="5" max="5" width="18" customWidth="1"/>
    <col min="6" max="6" width="12.28515625" style="30" customWidth="1"/>
    <col min="7" max="7" width="18" customWidth="1"/>
  </cols>
  <sheetData>
    <row r="1" spans="1:7" ht="15.75" thickBot="1" x14ac:dyDescent="0.3"/>
    <row r="2" spans="1:7" ht="26.25" customHeight="1" thickBot="1" x14ac:dyDescent="0.3">
      <c r="A2" s="24" t="s">
        <v>51</v>
      </c>
      <c r="B2" s="24" t="s">
        <v>52</v>
      </c>
      <c r="C2" s="24" t="s">
        <v>53</v>
      </c>
      <c r="D2" s="24" t="s">
        <v>54</v>
      </c>
      <c r="E2" s="25" t="s">
        <v>55</v>
      </c>
      <c r="F2" s="122" t="s">
        <v>56</v>
      </c>
      <c r="G2" s="123"/>
    </row>
    <row r="3" spans="1:7" ht="15.75" thickBot="1" x14ac:dyDescent="0.3">
      <c r="A3" s="26" t="s">
        <v>57</v>
      </c>
      <c r="B3" s="26" t="s">
        <v>58</v>
      </c>
      <c r="C3" s="32">
        <v>6960</v>
      </c>
      <c r="D3" s="27">
        <v>6960</v>
      </c>
      <c r="E3" s="28">
        <v>6960</v>
      </c>
      <c r="F3" s="31">
        <v>6960</v>
      </c>
      <c r="G3" s="29">
        <v>6960</v>
      </c>
    </row>
    <row r="4" spans="1:7" ht="15.75" thickBot="1" x14ac:dyDescent="0.3">
      <c r="A4" s="26" t="s">
        <v>59</v>
      </c>
      <c r="B4" s="26" t="s">
        <v>60</v>
      </c>
      <c r="C4" s="32">
        <v>8078</v>
      </c>
      <c r="D4" s="27">
        <v>8078</v>
      </c>
      <c r="E4" s="28">
        <v>8078</v>
      </c>
      <c r="F4" s="31">
        <v>8078</v>
      </c>
      <c r="G4" s="29">
        <v>8078</v>
      </c>
    </row>
    <row r="5" spans="1:7" ht="15.75" thickBot="1" x14ac:dyDescent="0.3">
      <c r="A5" s="26" t="s">
        <v>61</v>
      </c>
      <c r="B5" s="26" t="s">
        <v>62</v>
      </c>
      <c r="C5" s="32">
        <v>5122</v>
      </c>
      <c r="D5" s="27">
        <v>5122</v>
      </c>
      <c r="E5" s="28">
        <v>5122</v>
      </c>
      <c r="F5" s="31">
        <v>5122</v>
      </c>
      <c r="G5" s="29">
        <v>5122</v>
      </c>
    </row>
    <row r="6" spans="1:7" ht="15.75" thickBot="1" x14ac:dyDescent="0.3">
      <c r="A6" s="26" t="s">
        <v>63</v>
      </c>
      <c r="B6" s="26" t="s">
        <v>64</v>
      </c>
      <c r="C6" s="32">
        <v>5700</v>
      </c>
      <c r="D6" s="27">
        <v>5700</v>
      </c>
      <c r="E6" s="28">
        <v>5700</v>
      </c>
      <c r="F6" s="31">
        <v>5700</v>
      </c>
      <c r="G6" s="29">
        <v>5700</v>
      </c>
    </row>
    <row r="7" spans="1:7" ht="15.75" thickBot="1" x14ac:dyDescent="0.3">
      <c r="A7" s="26" t="s">
        <v>65</v>
      </c>
      <c r="B7" s="26" t="s">
        <v>66</v>
      </c>
      <c r="C7" s="32">
        <v>3764</v>
      </c>
      <c r="D7" s="27">
        <v>3764</v>
      </c>
      <c r="E7" s="28">
        <v>3764</v>
      </c>
      <c r="F7" s="31">
        <v>3764</v>
      </c>
      <c r="G7" s="29">
        <v>3764</v>
      </c>
    </row>
    <row r="8" spans="1:7" ht="15.75" thickBot="1" x14ac:dyDescent="0.3">
      <c r="A8" s="26" t="s">
        <v>67</v>
      </c>
      <c r="B8" s="26" t="s">
        <v>68</v>
      </c>
      <c r="C8" s="32">
        <v>8848</v>
      </c>
      <c r="D8" s="27">
        <v>8848</v>
      </c>
      <c r="E8" s="28">
        <v>8848</v>
      </c>
      <c r="F8" s="31">
        <v>8848</v>
      </c>
      <c r="G8" s="29">
        <v>8848</v>
      </c>
    </row>
    <row r="9" spans="1:7" ht="15.75" thickBot="1" x14ac:dyDescent="0.3">
      <c r="A9" s="26" t="s">
        <v>69</v>
      </c>
      <c r="B9" s="26" t="s">
        <v>70</v>
      </c>
      <c r="C9" s="32">
        <v>4196</v>
      </c>
      <c r="D9" s="27">
        <v>4196</v>
      </c>
      <c r="E9" s="28">
        <v>4196</v>
      </c>
      <c r="F9" s="31">
        <v>4196</v>
      </c>
      <c r="G9" s="29">
        <v>4196</v>
      </c>
    </row>
    <row r="10" spans="1:7" ht="15.75" thickBot="1" x14ac:dyDescent="0.3">
      <c r="A10" s="26" t="s">
        <v>71</v>
      </c>
      <c r="B10" s="26" t="s">
        <v>72</v>
      </c>
      <c r="C10" s="32">
        <v>6768</v>
      </c>
      <c r="D10" s="27">
        <v>6768</v>
      </c>
      <c r="E10" s="28">
        <v>6768</v>
      </c>
      <c r="F10" s="31">
        <v>6768</v>
      </c>
      <c r="G10" s="29">
        <v>6768</v>
      </c>
    </row>
    <row r="11" spans="1:7" ht="15.75" thickBot="1" x14ac:dyDescent="0.3">
      <c r="A11" s="26" t="s">
        <v>73</v>
      </c>
      <c r="B11" s="26" t="s">
        <v>74</v>
      </c>
      <c r="C11" s="32">
        <v>5029</v>
      </c>
      <c r="D11" s="27">
        <v>5029</v>
      </c>
      <c r="E11" s="28">
        <v>5029</v>
      </c>
      <c r="F11" s="31">
        <v>5029</v>
      </c>
      <c r="G11" s="29">
        <v>5029</v>
      </c>
    </row>
    <row r="12" spans="1:7" ht="15.75" thickBot="1" x14ac:dyDescent="0.3">
      <c r="A12" s="26" t="s">
        <v>75</v>
      </c>
      <c r="B12" s="26" t="s">
        <v>76</v>
      </c>
      <c r="C12" s="32">
        <v>4164</v>
      </c>
      <c r="D12" s="27">
        <v>4164</v>
      </c>
      <c r="E12" s="28">
        <v>4164</v>
      </c>
      <c r="F12" s="31">
        <v>4164</v>
      </c>
      <c r="G12" s="29">
        <v>4164</v>
      </c>
    </row>
    <row r="13" spans="1:7" ht="15.75" thickBot="1" x14ac:dyDescent="0.3">
      <c r="A13" s="26" t="s">
        <v>77</v>
      </c>
      <c r="B13" s="26" t="s">
        <v>78</v>
      </c>
      <c r="C13" s="32">
        <v>8611</v>
      </c>
      <c r="D13" s="27">
        <v>8611</v>
      </c>
      <c r="E13" s="28">
        <v>8611</v>
      </c>
      <c r="F13" s="31">
        <v>8611</v>
      </c>
      <c r="G13" s="29">
        <v>8611</v>
      </c>
    </row>
    <row r="14" spans="1:7" ht="15.75" thickBot="1" x14ac:dyDescent="0.3">
      <c r="A14" s="26" t="s">
        <v>79</v>
      </c>
      <c r="B14" s="26" t="s">
        <v>80</v>
      </c>
      <c r="C14" s="32">
        <v>8598</v>
      </c>
      <c r="D14" s="27">
        <v>8598</v>
      </c>
      <c r="E14" s="28">
        <v>8598</v>
      </c>
      <c r="F14" s="31">
        <v>8598</v>
      </c>
      <c r="G14" s="29">
        <v>8598</v>
      </c>
    </row>
    <row r="15" spans="1:7" ht="15.75" thickBot="1" x14ac:dyDescent="0.3">
      <c r="A15" s="26" t="s">
        <v>81</v>
      </c>
      <c r="B15" s="26" t="s">
        <v>82</v>
      </c>
      <c r="C15" s="32">
        <v>5895</v>
      </c>
      <c r="D15" s="27">
        <v>5895</v>
      </c>
      <c r="E15" s="28">
        <v>5895</v>
      </c>
      <c r="F15" s="31">
        <v>5895</v>
      </c>
      <c r="G15" s="29">
        <v>5895</v>
      </c>
    </row>
    <row r="16" spans="1:7" ht="15.75" thickBot="1" x14ac:dyDescent="0.3">
      <c r="A16" s="26" t="s">
        <v>83</v>
      </c>
      <c r="B16" s="26" t="s">
        <v>84</v>
      </c>
      <c r="C16" s="32">
        <v>4101</v>
      </c>
      <c r="D16" s="27">
        <v>4101</v>
      </c>
      <c r="E16" s="28">
        <v>4101</v>
      </c>
      <c r="F16" s="31">
        <v>4101</v>
      </c>
      <c r="G16" s="29">
        <v>4101</v>
      </c>
    </row>
    <row r="17" spans="1:7" ht="15.75" thickBot="1" x14ac:dyDescent="0.3">
      <c r="A17" s="26" t="s">
        <v>85</v>
      </c>
      <c r="B17" s="26" t="s">
        <v>86</v>
      </c>
      <c r="C17" s="32">
        <v>6050</v>
      </c>
      <c r="D17" s="27">
        <v>6050</v>
      </c>
      <c r="E17" s="28">
        <v>6050</v>
      </c>
      <c r="F17" s="31">
        <v>6050</v>
      </c>
      <c r="G17" s="29">
        <v>6050</v>
      </c>
    </row>
    <row r="18" spans="1:7" ht="15.75" thickBot="1" x14ac:dyDescent="0.3">
      <c r="A18" s="26" t="s">
        <v>87</v>
      </c>
      <c r="B18" s="26" t="s">
        <v>88</v>
      </c>
      <c r="C18" s="32">
        <v>6194</v>
      </c>
      <c r="D18" s="27">
        <v>6194</v>
      </c>
      <c r="E18" s="28">
        <v>6194</v>
      </c>
      <c r="F18" s="31">
        <v>6194</v>
      </c>
      <c r="G18" s="29">
        <v>6194</v>
      </c>
    </row>
    <row r="19" spans="1:7" ht="15.75" thickBot="1" x14ac:dyDescent="0.3">
      <c r="A19" s="26" t="s">
        <v>89</v>
      </c>
      <c r="B19" s="26" t="s">
        <v>90</v>
      </c>
      <c r="C19" s="32">
        <v>4807</v>
      </c>
      <c r="D19" s="27">
        <v>4807</v>
      </c>
      <c r="E19" s="28">
        <v>4807</v>
      </c>
      <c r="F19" s="31">
        <v>4807</v>
      </c>
      <c r="G19" s="29">
        <v>4807</v>
      </c>
    </row>
    <row r="20" spans="1:7" ht="15.75" thickBot="1" x14ac:dyDescent="0.3">
      <c r="A20" s="26" t="s">
        <v>91</v>
      </c>
      <c r="B20" s="26" t="s">
        <v>92</v>
      </c>
      <c r="C20" s="32">
        <v>4634</v>
      </c>
      <c r="D20" s="27">
        <v>4634</v>
      </c>
      <c r="E20" s="28">
        <v>4634</v>
      </c>
      <c r="F20" s="31">
        <v>4634</v>
      </c>
      <c r="G20" s="29">
        <v>4634</v>
      </c>
    </row>
    <row r="21" spans="1:7" ht="15.75" thickBot="1" x14ac:dyDescent="0.3">
      <c r="A21" s="26" t="s">
        <v>93</v>
      </c>
      <c r="B21" s="26" t="s">
        <v>94</v>
      </c>
      <c r="C21" s="32">
        <v>6880</v>
      </c>
      <c r="D21" s="27">
        <v>6880</v>
      </c>
      <c r="E21" s="28">
        <v>6880</v>
      </c>
      <c r="F21" s="31">
        <v>6880</v>
      </c>
      <c r="G21" s="29">
        <v>6880</v>
      </c>
    </row>
    <row r="22" spans="1:7" ht="15.75" thickBot="1" x14ac:dyDescent="0.3">
      <c r="A22" s="26" t="s">
        <v>95</v>
      </c>
      <c r="B22" s="26" t="s">
        <v>96</v>
      </c>
      <c r="C22" s="32">
        <v>4260</v>
      </c>
      <c r="D22" s="27">
        <v>4260</v>
      </c>
      <c r="E22" s="28">
        <v>4260</v>
      </c>
      <c r="F22" s="31">
        <v>4260</v>
      </c>
      <c r="G22" s="29">
        <v>4260</v>
      </c>
    </row>
    <row r="23" spans="1:7" ht="15.75" thickBot="1" x14ac:dyDescent="0.3">
      <c r="A23" s="26" t="s">
        <v>97</v>
      </c>
      <c r="B23" s="26" t="s">
        <v>98</v>
      </c>
      <c r="C23" s="32">
        <v>6520</v>
      </c>
      <c r="D23" s="27">
        <v>6520</v>
      </c>
      <c r="E23" s="28">
        <v>6520</v>
      </c>
      <c r="F23" s="31">
        <v>6520</v>
      </c>
      <c r="G23" s="29">
        <v>6520</v>
      </c>
    </row>
    <row r="24" spans="1:7" ht="15.75" thickBot="1" x14ac:dyDescent="0.3">
      <c r="A24" s="26" t="s">
        <v>99</v>
      </c>
      <c r="B24" s="26" t="s">
        <v>100</v>
      </c>
      <c r="C24" s="32">
        <v>5140</v>
      </c>
      <c r="D24" s="27">
        <v>5140</v>
      </c>
      <c r="E24" s="28">
        <v>5140</v>
      </c>
      <c r="F24" s="31">
        <v>5140</v>
      </c>
      <c r="G24" s="29">
        <v>5140</v>
      </c>
    </row>
  </sheetData>
  <mergeCells count="1">
    <mergeCell ref="F2:G2"/>
  </mergeCells>
  <conditionalFormatting sqref="D3:D24">
    <cfRule type="dataBar" priority="5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{9357265A-C5A0-448F-B4A4-4C083BE5D278}</x14:id>
        </ext>
      </extLst>
    </cfRule>
    <cfRule type="dataBar" priority="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{22533D3B-E31B-4C74-8EBC-C822C95EDE69}</x14:id>
        </ext>
      </extLst>
    </cfRule>
  </conditionalFormatting>
  <conditionalFormatting sqref="E3:E24">
    <cfRule type="dataBar" priority="6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{BCBB074B-BD34-4A49-A3D3-E4ADD7226AC1}</x14:id>
        </ext>
      </extLst>
    </cfRule>
  </conditionalFormatting>
  <conditionalFormatting sqref="G1:G1048576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{0E946F89-954A-4B06-AAEC-D384712A7581}</x14:id>
        </ext>
      </extLst>
    </cfRule>
    <cfRule type="dataBar" priority="2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{3F7AD2CF-DDB5-4BF5-9AEA-E2E0458197AE}</x14:id>
        </ext>
      </extLst>
    </cfRule>
    <cfRule type="dataBar" priority="4">
      <dataBar showValue="0"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{22823440-3F62-41E6-BF3B-C2FDB040C35B}</x14:id>
        </ext>
      </extLst>
    </cfRule>
  </conditionalFormatting>
  <conditionalFormatting sqref="G3:G2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{A1AE47CF-EF75-4752-B6D2-2D2C25F2C9DA}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57265A-C5A0-448F-B4A4-4C083BE5D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533D3B-E31B-4C74-8EBC-C822C95EDE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D3:D24</xm:sqref>
        </x14:conditionalFormatting>
        <x14:conditionalFormatting xmlns:xm="http://schemas.microsoft.com/office/excel/2006/main">
          <x14:cfRule type="dataBar" id="{BCBB074B-BD34-4A49-A3D3-E4ADD7226A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E3:E24</xm:sqref>
        </x14:conditionalFormatting>
        <x14:conditionalFormatting xmlns:xm="http://schemas.microsoft.com/office/excel/2006/main">
          <x14:cfRule type="dataBar" id="{0E946F89-954A-4B06-AAEC-D384712A758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7AD2CF-DDB5-4BF5-9AEA-E2E0458197AE}">
            <x14:dataBar minLength="0" maxLength="100" border="1">
              <x14:cfvo type="autoMin"/>
              <x14:cfvo type="autoMax"/>
              <x14:borderColor theme="8" tint="0.39997558519241921"/>
              <x14:negativeFillColor rgb="FFFF0000"/>
              <x14:axisColor rgb="FF000000"/>
            </x14:dataBar>
          </x14:cfRule>
          <x14:cfRule type="dataBar" id="{22823440-3F62-41E6-BF3B-C2FDB040C3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A1AE47CF-EF75-4752-B6D2-2D2C25F2C9DA}">
            <x14:dataBar minLength="0" maxLength="100" border="1">
              <x14:cfvo type="autoMin"/>
              <x14:cfvo type="autoMax"/>
              <x14:borderColor theme="9" tint="0.39997558519241921"/>
              <x14:negativeFillColor rgb="FFFF0000"/>
              <x14:axisColor rgb="FF000000"/>
            </x14:dataBar>
          </x14:cfRule>
          <xm:sqref>G3:G24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3" sqref="C3"/>
    </sheetView>
  </sheetViews>
  <sheetFormatPr defaultRowHeight="15" x14ac:dyDescent="0.25"/>
  <cols>
    <col min="1" max="1" width="13" customWidth="1"/>
    <col min="2" max="2" width="13.28515625" customWidth="1"/>
    <col min="3" max="3" width="11.28515625" customWidth="1"/>
    <col min="5" max="5" width="24.28515625" customWidth="1"/>
    <col min="6" max="6" width="9.140625" hidden="1" customWidth="1"/>
    <col min="8" max="8" width="9.140625" customWidth="1"/>
    <col min="9" max="9" width="9.5703125" customWidth="1"/>
    <col min="10" max="10" width="9" customWidth="1"/>
  </cols>
  <sheetData>
    <row r="1" spans="1:4" ht="15.75" thickBot="1" x14ac:dyDescent="0.3"/>
    <row r="2" spans="1:4" ht="18.75" customHeight="1" thickBot="1" x14ac:dyDescent="0.3">
      <c r="A2" s="34" t="s">
        <v>101</v>
      </c>
      <c r="B2" s="1" t="s">
        <v>102</v>
      </c>
      <c r="C2" t="s">
        <v>109</v>
      </c>
      <c r="D2" t="s">
        <v>113</v>
      </c>
    </row>
    <row r="3" spans="1:4" ht="18.75" customHeight="1" thickBot="1" x14ac:dyDescent="0.3">
      <c r="A3" s="34" t="s">
        <v>103</v>
      </c>
      <c r="B3" s="1" t="s">
        <v>104</v>
      </c>
      <c r="C3" t="s">
        <v>110</v>
      </c>
    </row>
    <row r="4" spans="1:4" ht="18.75" customHeight="1" thickBot="1" x14ac:dyDescent="0.3">
      <c r="A4" s="34" t="s">
        <v>105</v>
      </c>
      <c r="B4" s="1" t="s">
        <v>106</v>
      </c>
      <c r="C4" t="s">
        <v>111</v>
      </c>
    </row>
    <row r="5" spans="1:4" ht="18" customHeight="1" thickBot="1" x14ac:dyDescent="0.3">
      <c r="A5" s="34" t="s">
        <v>107</v>
      </c>
      <c r="B5" s="33" t="s">
        <v>108</v>
      </c>
      <c r="C5" t="s">
        <v>112</v>
      </c>
    </row>
    <row r="9" spans="1:4" x14ac:dyDescent="0.25">
      <c r="B9" t="s">
        <v>114</v>
      </c>
    </row>
    <row r="12" spans="1:4" ht="20.25" customHeight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Normal="100" workbookViewId="0">
      <selection activeCell="H5" sqref="H5"/>
    </sheetView>
  </sheetViews>
  <sheetFormatPr defaultRowHeight="15" x14ac:dyDescent="0.25"/>
  <cols>
    <col min="1" max="1" width="23.85546875" customWidth="1"/>
    <col min="2" max="2" width="14.7109375" customWidth="1"/>
    <col min="3" max="3" width="9.140625" customWidth="1"/>
    <col min="4" max="4" width="19" customWidth="1"/>
    <col min="6" max="6" width="18.28515625" customWidth="1"/>
    <col min="7" max="7" width="24.42578125" customWidth="1"/>
    <col min="8" max="8" width="23" customWidth="1"/>
  </cols>
  <sheetData>
    <row r="1" spans="1:8" ht="15.75" thickBot="1" x14ac:dyDescent="0.3"/>
    <row r="2" spans="1:8" ht="39.75" thickBot="1" x14ac:dyDescent="0.3">
      <c r="A2" s="35" t="s">
        <v>116</v>
      </c>
      <c r="B2" s="35" t="s">
        <v>115</v>
      </c>
      <c r="D2" s="35" t="s">
        <v>116</v>
      </c>
      <c r="E2" s="35" t="s">
        <v>115</v>
      </c>
      <c r="F2" s="39" t="s">
        <v>122</v>
      </c>
      <c r="G2" s="39" t="s">
        <v>123</v>
      </c>
      <c r="H2" s="39" t="s">
        <v>124</v>
      </c>
    </row>
    <row r="3" spans="1:8" ht="21.75" customHeight="1" thickBot="1" x14ac:dyDescent="0.3">
      <c r="A3" s="38" t="s">
        <v>117</v>
      </c>
      <c r="B3" s="1">
        <f>LEN(A3)</f>
        <v>11</v>
      </c>
      <c r="D3" s="1" t="s">
        <v>117</v>
      </c>
      <c r="E3" s="37">
        <f>LEN(D3)</f>
        <v>11</v>
      </c>
      <c r="F3" s="1" t="str">
        <f>LEFT(A3,2)</f>
        <v>IC</v>
      </c>
      <c r="G3" s="1" t="str">
        <f>RIGHT(A3,2)</f>
        <v>01</v>
      </c>
      <c r="H3" s="1" t="str">
        <f>MID(A3,6,2)</f>
        <v>00</v>
      </c>
    </row>
    <row r="4" spans="1:8" ht="21" customHeight="1" thickBot="1" x14ac:dyDescent="0.3">
      <c r="A4" s="38">
        <v>600229002</v>
      </c>
      <c r="B4" s="1">
        <f>LEN(A4)</f>
        <v>9</v>
      </c>
      <c r="D4" s="36">
        <v>600229002</v>
      </c>
      <c r="E4" s="37">
        <f>LEN(D4)</f>
        <v>9</v>
      </c>
      <c r="F4" s="1"/>
      <c r="G4" s="1"/>
      <c r="H4" s="1" t="str">
        <f>MID(A4,5,2)</f>
        <v>29</v>
      </c>
    </row>
    <row r="5" spans="1:8" ht="60.75" thickBot="1" x14ac:dyDescent="0.3">
      <c r="A5" s="38" t="s">
        <v>118</v>
      </c>
      <c r="B5" s="1">
        <f>LEN(A5)</f>
        <v>23</v>
      </c>
      <c r="D5" s="1" t="s">
        <v>118</v>
      </c>
      <c r="E5" s="37">
        <f>LEN(D5)</f>
        <v>23</v>
      </c>
      <c r="F5" s="1"/>
      <c r="G5" s="1"/>
      <c r="H5" s="1"/>
    </row>
    <row r="6" spans="1:8" ht="15.75" thickBot="1" x14ac:dyDescent="0.3">
      <c r="A6" s="38" t="s">
        <v>121</v>
      </c>
      <c r="B6" s="1">
        <f>LEN(A6)</f>
        <v>8</v>
      </c>
      <c r="D6" s="1" t="s">
        <v>119</v>
      </c>
      <c r="E6" s="37">
        <v>9</v>
      </c>
      <c r="F6" s="1"/>
      <c r="G6" s="1"/>
      <c r="H6" s="1"/>
    </row>
    <row r="7" spans="1:8" ht="30.75" thickBot="1" x14ac:dyDescent="0.3">
      <c r="A7" s="38" t="s">
        <v>120</v>
      </c>
      <c r="B7" s="1">
        <f>LEN(A7)</f>
        <v>23</v>
      </c>
      <c r="D7" s="1" t="s">
        <v>120</v>
      </c>
      <c r="E7" s="37">
        <v>23</v>
      </c>
      <c r="F7" s="1"/>
      <c r="G7" s="1"/>
      <c r="H7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B7" zoomScale="80" zoomScaleNormal="80" workbookViewId="0">
      <selection activeCell="H18" sqref="H18"/>
    </sheetView>
  </sheetViews>
  <sheetFormatPr defaultRowHeight="15" x14ac:dyDescent="0.25"/>
  <cols>
    <col min="1" max="1" width="29.28515625" customWidth="1"/>
    <col min="2" max="2" width="19.28515625" customWidth="1"/>
    <col min="3" max="3" width="16.85546875" customWidth="1"/>
    <col min="4" max="4" width="17.42578125" customWidth="1"/>
    <col min="5" max="5" width="20.7109375" customWidth="1"/>
    <col min="6" max="6" width="68.28515625" customWidth="1"/>
    <col min="7" max="7" width="16" customWidth="1"/>
    <col min="8" max="8" width="34.140625" customWidth="1"/>
    <col min="10" max="10" width="12" customWidth="1"/>
  </cols>
  <sheetData>
    <row r="1" spans="1:8" ht="16.5" thickBot="1" x14ac:dyDescent="0.3">
      <c r="A1" s="42" t="s">
        <v>125</v>
      </c>
      <c r="B1" s="42" t="s">
        <v>126</v>
      </c>
      <c r="C1" s="42" t="s">
        <v>127</v>
      </c>
      <c r="D1" s="42" t="s">
        <v>128</v>
      </c>
      <c r="E1" s="42" t="s">
        <v>129</v>
      </c>
      <c r="F1" s="36"/>
      <c r="G1" s="36"/>
      <c r="H1" s="36"/>
    </row>
    <row r="2" spans="1:8" ht="17.25" customHeight="1" thickBot="1" x14ac:dyDescent="0.3">
      <c r="A2" s="47" t="s">
        <v>130</v>
      </c>
      <c r="B2" s="47" t="s">
        <v>131</v>
      </c>
      <c r="C2" s="47" t="s">
        <v>132</v>
      </c>
      <c r="D2" s="47" t="s">
        <v>133</v>
      </c>
      <c r="E2" s="47">
        <v>24000</v>
      </c>
      <c r="F2" s="36"/>
      <c r="G2" s="36"/>
      <c r="H2" s="36"/>
    </row>
    <row r="3" spans="1:8" ht="19.5" customHeight="1" thickBot="1" x14ac:dyDescent="0.35">
      <c r="A3" s="47" t="s">
        <v>134</v>
      </c>
      <c r="B3" s="47" t="s">
        <v>131</v>
      </c>
      <c r="C3" s="47" t="s">
        <v>132</v>
      </c>
      <c r="D3" s="47" t="s">
        <v>133</v>
      </c>
      <c r="E3" s="47">
        <v>22000</v>
      </c>
      <c r="F3" s="41" t="s">
        <v>135</v>
      </c>
      <c r="G3" s="41">
        <v>593000</v>
      </c>
      <c r="H3" s="43">
        <f>SUM(E2:E28)</f>
        <v>593000</v>
      </c>
    </row>
    <row r="4" spans="1:8" ht="19.5" thickBot="1" x14ac:dyDescent="0.35">
      <c r="A4" s="47" t="s">
        <v>136</v>
      </c>
      <c r="B4" s="47" t="s">
        <v>131</v>
      </c>
      <c r="C4" s="47" t="s">
        <v>132</v>
      </c>
      <c r="D4" s="47" t="s">
        <v>133</v>
      </c>
      <c r="E4" s="47">
        <v>24000</v>
      </c>
      <c r="F4" s="41" t="s">
        <v>137</v>
      </c>
      <c r="G4" s="41">
        <v>413000</v>
      </c>
      <c r="H4" s="43">
        <f>SUMIF(B2:B28,"=Commerce",E2:E28)</f>
        <v>413000</v>
      </c>
    </row>
    <row r="5" spans="1:8" ht="19.5" thickBot="1" x14ac:dyDescent="0.35">
      <c r="A5" s="47" t="s">
        <v>138</v>
      </c>
      <c r="B5" s="47" t="s">
        <v>131</v>
      </c>
      <c r="C5" s="47" t="s">
        <v>132</v>
      </c>
      <c r="D5" s="47" t="s">
        <v>139</v>
      </c>
      <c r="E5" s="47">
        <v>23000</v>
      </c>
      <c r="F5" s="41" t="s">
        <v>140</v>
      </c>
      <c r="G5" s="41">
        <v>206000</v>
      </c>
      <c r="H5" s="43">
        <f>SUMIFS(E2:E28,B2:B28,"=Commerce",C2:C28,"=Bcom(BA)")</f>
        <v>206000</v>
      </c>
    </row>
    <row r="6" spans="1:8" ht="19.5" thickBot="1" x14ac:dyDescent="0.35">
      <c r="A6" s="47" t="s">
        <v>141</v>
      </c>
      <c r="B6" s="47" t="s">
        <v>131</v>
      </c>
      <c r="C6" s="47" t="s">
        <v>132</v>
      </c>
      <c r="D6" s="47" t="s">
        <v>139</v>
      </c>
      <c r="E6" s="47">
        <v>24000</v>
      </c>
      <c r="F6" s="41" t="s">
        <v>142</v>
      </c>
      <c r="G6" s="41">
        <v>21963</v>
      </c>
      <c r="H6" s="43">
        <f>AVERAGE(E2:E28)</f>
        <v>21962.962962962964</v>
      </c>
    </row>
    <row r="7" spans="1:8" ht="19.5" thickBot="1" x14ac:dyDescent="0.35">
      <c r="A7" s="47" t="s">
        <v>143</v>
      </c>
      <c r="B7" s="47" t="s">
        <v>131</v>
      </c>
      <c r="C7" s="47" t="s">
        <v>132</v>
      </c>
      <c r="D7" s="47" t="s">
        <v>139</v>
      </c>
      <c r="E7" s="47">
        <v>24000</v>
      </c>
      <c r="F7" s="41" t="s">
        <v>144</v>
      </c>
      <c r="G7" s="41">
        <v>22944.44</v>
      </c>
      <c r="H7" s="44">
        <f>AVERAGEIF(B:B,"=Commerce",E:E)</f>
        <v>22944.444444444445</v>
      </c>
    </row>
    <row r="8" spans="1:8" ht="19.5" thickBot="1" x14ac:dyDescent="0.35">
      <c r="A8" s="47" t="s">
        <v>145</v>
      </c>
      <c r="B8" s="47" t="s">
        <v>131</v>
      </c>
      <c r="C8" s="47" t="s">
        <v>132</v>
      </c>
      <c r="D8" s="47" t="s">
        <v>146</v>
      </c>
      <c r="E8" s="47">
        <v>24000</v>
      </c>
      <c r="F8" s="41" t="s">
        <v>147</v>
      </c>
      <c r="G8" s="41">
        <v>22888.89</v>
      </c>
      <c r="H8" s="43">
        <f>AVERAGEIF(B2:B28,"=Commerce",E2:E28)</f>
        <v>22944.444444444445</v>
      </c>
    </row>
    <row r="9" spans="1:8" ht="19.5" thickBot="1" x14ac:dyDescent="0.35">
      <c r="A9" s="47" t="s">
        <v>148</v>
      </c>
      <c r="B9" s="47" t="s">
        <v>131</v>
      </c>
      <c r="C9" s="47" t="s">
        <v>132</v>
      </c>
      <c r="D9" s="47" t="s">
        <v>146</v>
      </c>
      <c r="E9" s="47">
        <v>20000</v>
      </c>
      <c r="F9" s="41" t="s">
        <v>149</v>
      </c>
      <c r="G9" s="41">
        <v>27</v>
      </c>
      <c r="H9" s="43">
        <f>COUNT(E2:E28)</f>
        <v>27</v>
      </c>
    </row>
    <row r="10" spans="1:8" ht="25.5" customHeight="1" thickBot="1" x14ac:dyDescent="0.35">
      <c r="A10" s="47" t="s">
        <v>150</v>
      </c>
      <c r="B10" s="47" t="s">
        <v>131</v>
      </c>
      <c r="C10" s="47" t="s">
        <v>132</v>
      </c>
      <c r="D10" s="47" t="s">
        <v>146</v>
      </c>
      <c r="E10" s="47">
        <v>21000</v>
      </c>
      <c r="F10" s="41" t="s">
        <v>151</v>
      </c>
      <c r="G10" s="41">
        <v>18</v>
      </c>
      <c r="H10" s="43">
        <f>COUNTIF(B2:B28,"=Commerce")</f>
        <v>18</v>
      </c>
    </row>
    <row r="11" spans="1:8" ht="22.5" customHeight="1" thickBot="1" x14ac:dyDescent="0.35">
      <c r="A11" s="47" t="s">
        <v>152</v>
      </c>
      <c r="B11" s="47" t="s">
        <v>131</v>
      </c>
      <c r="C11" s="47" t="s">
        <v>153</v>
      </c>
      <c r="D11" s="47" t="s">
        <v>133</v>
      </c>
      <c r="E11" s="47">
        <v>15000</v>
      </c>
      <c r="F11" s="41" t="s">
        <v>154</v>
      </c>
      <c r="G11" s="41">
        <v>9</v>
      </c>
      <c r="H11" s="43">
        <f>COUNTIFS(B2:B28,"=Commerce",C2:C28,"=Bcom(BA)")</f>
        <v>9</v>
      </c>
    </row>
    <row r="12" spans="1:8" ht="16.5" thickBot="1" x14ac:dyDescent="0.3">
      <c r="A12" s="47" t="s">
        <v>155</v>
      </c>
      <c r="B12" s="47" t="s">
        <v>131</v>
      </c>
      <c r="C12" s="47" t="s">
        <v>153</v>
      </c>
      <c r="D12" s="47" t="s">
        <v>133</v>
      </c>
      <c r="E12" s="47">
        <v>24000</v>
      </c>
      <c r="F12" s="36"/>
      <c r="G12" s="36"/>
      <c r="H12" s="36"/>
    </row>
    <row r="13" spans="1:8" ht="16.5" thickBot="1" x14ac:dyDescent="0.3">
      <c r="A13" s="47" t="s">
        <v>156</v>
      </c>
      <c r="B13" s="47" t="s">
        <v>131</v>
      </c>
      <c r="C13" s="47" t="s">
        <v>153</v>
      </c>
      <c r="D13" s="47" t="s">
        <v>133</v>
      </c>
      <c r="E13" s="47">
        <v>24000</v>
      </c>
      <c r="F13" s="36"/>
      <c r="G13" s="36"/>
      <c r="H13" s="36"/>
    </row>
    <row r="14" spans="1:8" ht="16.5" thickBot="1" x14ac:dyDescent="0.3">
      <c r="A14" s="47" t="s">
        <v>157</v>
      </c>
      <c r="B14" s="47" t="s">
        <v>131</v>
      </c>
      <c r="C14" s="47" t="s">
        <v>153</v>
      </c>
      <c r="D14" s="47" t="s">
        <v>139</v>
      </c>
      <c r="E14" s="47">
        <v>24000</v>
      </c>
      <c r="G14" s="36"/>
      <c r="H14" s="36"/>
    </row>
    <row r="15" spans="1:8" ht="16.5" thickBot="1" x14ac:dyDescent="0.3">
      <c r="A15" s="47" t="s">
        <v>158</v>
      </c>
      <c r="B15" s="47" t="s">
        <v>131</v>
      </c>
      <c r="C15" s="47" t="s">
        <v>153</v>
      </c>
      <c r="D15" s="47" t="s">
        <v>139</v>
      </c>
      <c r="E15" s="47">
        <v>24000</v>
      </c>
      <c r="F15" s="36"/>
      <c r="G15" s="36"/>
      <c r="H15" s="36"/>
    </row>
    <row r="16" spans="1:8" ht="16.5" thickBot="1" x14ac:dyDescent="0.3">
      <c r="A16" s="47" t="s">
        <v>159</v>
      </c>
      <c r="B16" s="47" t="s">
        <v>131</v>
      </c>
      <c r="C16" s="47" t="s">
        <v>153</v>
      </c>
      <c r="D16" s="47" t="s">
        <v>139</v>
      </c>
      <c r="E16" s="47">
        <v>24000</v>
      </c>
      <c r="F16" s="36"/>
      <c r="G16" s="36"/>
      <c r="H16" s="36"/>
    </row>
    <row r="17" spans="1:8" ht="19.5" thickBot="1" x14ac:dyDescent="0.3">
      <c r="A17" s="47" t="s">
        <v>160</v>
      </c>
      <c r="B17" s="47" t="s">
        <v>131</v>
      </c>
      <c r="C17" s="47" t="s">
        <v>153</v>
      </c>
      <c r="D17" s="47" t="s">
        <v>146</v>
      </c>
      <c r="E17" s="47">
        <v>24000</v>
      </c>
      <c r="F17" s="40">
        <v>413000</v>
      </c>
      <c r="G17" s="45" t="s">
        <v>174</v>
      </c>
      <c r="H17" s="46">
        <f>SUM(E2:E28)</f>
        <v>593000</v>
      </c>
    </row>
    <row r="18" spans="1:8" ht="19.5" thickBot="1" x14ac:dyDescent="0.3">
      <c r="A18" s="47" t="s">
        <v>161</v>
      </c>
      <c r="B18" s="47" t="s">
        <v>131</v>
      </c>
      <c r="C18" s="47" t="s">
        <v>153</v>
      </c>
      <c r="D18" s="47" t="s">
        <v>146</v>
      </c>
      <c r="E18" s="47">
        <v>24000</v>
      </c>
      <c r="F18" s="40">
        <v>207000</v>
      </c>
      <c r="G18" s="45" t="s">
        <v>175</v>
      </c>
      <c r="H18" s="46">
        <f>SUMIF(B2:B28,"=Commerce",E2:E28)</f>
        <v>413000</v>
      </c>
    </row>
    <row r="19" spans="1:8" ht="19.5" thickBot="1" x14ac:dyDescent="0.3">
      <c r="A19" s="47" t="s">
        <v>162</v>
      </c>
      <c r="B19" s="47" t="s">
        <v>131</v>
      </c>
      <c r="C19" s="47" t="s">
        <v>153</v>
      </c>
      <c r="D19" s="47" t="s">
        <v>146</v>
      </c>
      <c r="E19" s="47">
        <v>24000</v>
      </c>
      <c r="F19" s="40">
        <v>63000</v>
      </c>
      <c r="G19" s="45" t="s">
        <v>176</v>
      </c>
      <c r="H19" s="46">
        <f>SUMIFS(E2:E28,B2:B28,"=Commerce",C2:C28,"=Bcom(BA)")</f>
        <v>206000</v>
      </c>
    </row>
    <row r="20" spans="1:8" ht="19.5" thickBot="1" x14ac:dyDescent="0.3">
      <c r="A20" s="40" t="s">
        <v>163</v>
      </c>
      <c r="B20" s="47" t="s">
        <v>164</v>
      </c>
      <c r="C20" s="40" t="s">
        <v>165</v>
      </c>
      <c r="D20" s="40" t="s">
        <v>133</v>
      </c>
      <c r="E20" s="40">
        <v>20000</v>
      </c>
      <c r="F20" s="36"/>
      <c r="G20" s="45" t="s">
        <v>177</v>
      </c>
      <c r="H20" s="46">
        <f>AVERAGE(E2:E28)</f>
        <v>21962.962962962964</v>
      </c>
    </row>
    <row r="21" spans="1:8" ht="19.5" thickBot="1" x14ac:dyDescent="0.3">
      <c r="A21" s="40" t="s">
        <v>166</v>
      </c>
      <c r="B21" s="40" t="s">
        <v>164</v>
      </c>
      <c r="C21" s="40" t="s">
        <v>165</v>
      </c>
      <c r="D21" s="40" t="s">
        <v>133</v>
      </c>
      <c r="E21" s="40">
        <v>20000</v>
      </c>
      <c r="F21" s="36"/>
      <c r="G21" s="45" t="s">
        <v>178</v>
      </c>
      <c r="H21" s="46">
        <f>AVERAGEIF(B2:B28,"=Commerce",E2:E28)</f>
        <v>22944.444444444445</v>
      </c>
    </row>
    <row r="22" spans="1:8" ht="19.5" thickBot="1" x14ac:dyDescent="0.3">
      <c r="A22" s="40" t="s">
        <v>167</v>
      </c>
      <c r="B22" s="40" t="s">
        <v>164</v>
      </c>
      <c r="C22" s="40" t="s">
        <v>165</v>
      </c>
      <c r="D22" s="40" t="s">
        <v>133</v>
      </c>
      <c r="E22" s="40">
        <v>20000</v>
      </c>
      <c r="F22" s="36"/>
      <c r="G22" s="45" t="s">
        <v>180</v>
      </c>
      <c r="H22" s="46">
        <f>AVERAGEIFS(E2:E28,B2:B28,"=Commerce",C2:C28,"=Bcom(BA)")</f>
        <v>22888.888888888891</v>
      </c>
    </row>
    <row r="23" spans="1:8" ht="19.5" thickBot="1" x14ac:dyDescent="0.3">
      <c r="A23" s="40" t="s">
        <v>168</v>
      </c>
      <c r="B23" s="40" t="s">
        <v>164</v>
      </c>
      <c r="C23" s="40" t="s">
        <v>165</v>
      </c>
      <c r="D23" s="40" t="s">
        <v>139</v>
      </c>
      <c r="E23" s="40">
        <v>20000</v>
      </c>
      <c r="F23" s="36"/>
      <c r="G23" s="45" t="s">
        <v>179</v>
      </c>
      <c r="H23" s="46">
        <f>COUNT(E2:E28)</f>
        <v>27</v>
      </c>
    </row>
    <row r="24" spans="1:8" ht="19.5" thickBot="1" x14ac:dyDescent="0.3">
      <c r="A24" s="40" t="s">
        <v>169</v>
      </c>
      <c r="B24" s="40" t="s">
        <v>164</v>
      </c>
      <c r="C24" s="40" t="s">
        <v>165</v>
      </c>
      <c r="D24" s="40" t="s">
        <v>139</v>
      </c>
      <c r="E24" s="40">
        <v>20000</v>
      </c>
      <c r="F24" s="36"/>
      <c r="G24" s="45" t="s">
        <v>181</v>
      </c>
      <c r="H24" s="36">
        <f>COUNTIF(B2:B28,"=Commerce")</f>
        <v>18</v>
      </c>
    </row>
    <row r="25" spans="1:8" ht="19.5" thickBot="1" x14ac:dyDescent="0.3">
      <c r="A25" s="40" t="s">
        <v>170</v>
      </c>
      <c r="B25" s="40" t="s">
        <v>164</v>
      </c>
      <c r="C25" s="40" t="s">
        <v>165</v>
      </c>
      <c r="D25" s="40" t="s">
        <v>139</v>
      </c>
      <c r="E25" s="40">
        <v>20000</v>
      </c>
      <c r="F25" s="36"/>
      <c r="G25" s="45" t="s">
        <v>182</v>
      </c>
      <c r="H25" s="36">
        <f>COUNTIFS(B2:B28,"=Commerce",C2:C28,"Bcom(BA)",D2:D28,"II Year")</f>
        <v>3</v>
      </c>
    </row>
    <row r="26" spans="1:8" ht="16.5" thickBot="1" x14ac:dyDescent="0.3">
      <c r="A26" s="40" t="s">
        <v>171</v>
      </c>
      <c r="B26" s="40" t="s">
        <v>164</v>
      </c>
      <c r="C26" s="40" t="s">
        <v>165</v>
      </c>
      <c r="D26" s="40" t="s">
        <v>146</v>
      </c>
      <c r="E26" s="40">
        <v>20000</v>
      </c>
      <c r="F26" s="36"/>
      <c r="G26" s="36"/>
      <c r="H26" s="36"/>
    </row>
    <row r="27" spans="1:8" ht="16.5" thickBot="1" x14ac:dyDescent="0.3">
      <c r="A27" s="40" t="s">
        <v>172</v>
      </c>
      <c r="B27" s="40" t="s">
        <v>164</v>
      </c>
      <c r="C27" s="40" t="s">
        <v>165</v>
      </c>
      <c r="D27" s="40" t="s">
        <v>146</v>
      </c>
      <c r="E27" s="40">
        <v>20000</v>
      </c>
      <c r="F27" s="36"/>
      <c r="G27" s="36"/>
      <c r="H27" s="36"/>
    </row>
    <row r="28" spans="1:8" ht="16.5" thickBot="1" x14ac:dyDescent="0.3">
      <c r="A28" s="40" t="s">
        <v>173</v>
      </c>
      <c r="B28" s="40" t="s">
        <v>164</v>
      </c>
      <c r="C28" s="40" t="s">
        <v>165</v>
      </c>
      <c r="D28" s="40" t="s">
        <v>146</v>
      </c>
      <c r="E28" s="40">
        <v>20000</v>
      </c>
      <c r="F28" s="36"/>
      <c r="G28" s="36"/>
    </row>
    <row r="31" spans="1:8" ht="17.25" customHeight="1" x14ac:dyDescent="0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9" sqref="D9"/>
    </sheetView>
  </sheetViews>
  <sheetFormatPr defaultRowHeight="15" x14ac:dyDescent="0.25"/>
  <cols>
    <col min="1" max="1" width="15.140625" customWidth="1"/>
    <col min="2" max="2" width="13.140625" customWidth="1"/>
    <col min="3" max="3" width="14.5703125" customWidth="1"/>
    <col min="4" max="4" width="13.140625" customWidth="1"/>
  </cols>
  <sheetData>
    <row r="1" spans="1:5" ht="15.75" thickBot="1" x14ac:dyDescent="0.3"/>
    <row r="2" spans="1:5" ht="19.5" thickBot="1" x14ac:dyDescent="0.35">
      <c r="A2" s="50" t="s">
        <v>13</v>
      </c>
      <c r="B2" s="51" t="s">
        <v>183</v>
      </c>
      <c r="C2" s="51" t="s">
        <v>184</v>
      </c>
      <c r="D2" s="51" t="s">
        <v>185</v>
      </c>
    </row>
    <row r="3" spans="1:5" ht="24.75" customHeight="1" thickBot="1" x14ac:dyDescent="0.35">
      <c r="A3" s="52" t="s">
        <v>186</v>
      </c>
      <c r="B3" s="48">
        <v>2</v>
      </c>
      <c r="C3" s="48">
        <v>40000</v>
      </c>
      <c r="D3" s="48">
        <v>80000</v>
      </c>
    </row>
    <row r="4" spans="1:5" ht="27" customHeight="1" thickBot="1" x14ac:dyDescent="0.35">
      <c r="A4" s="52" t="s">
        <v>187</v>
      </c>
      <c r="B4" s="48">
        <v>4</v>
      </c>
      <c r="C4" s="48">
        <v>1200</v>
      </c>
      <c r="D4" s="48">
        <v>4800</v>
      </c>
    </row>
    <row r="5" spans="1:5" ht="19.5" thickBot="1" x14ac:dyDescent="0.35">
      <c r="A5" s="52" t="s">
        <v>188</v>
      </c>
      <c r="B5" s="48">
        <v>4</v>
      </c>
      <c r="C5" s="48">
        <v>750</v>
      </c>
      <c r="D5" s="48">
        <v>3000</v>
      </c>
    </row>
    <row r="6" spans="1:5" ht="19.5" thickBot="1" x14ac:dyDescent="0.35">
      <c r="A6" s="52" t="s">
        <v>189</v>
      </c>
      <c r="B6" s="48">
        <v>2</v>
      </c>
      <c r="C6" s="48">
        <v>5000</v>
      </c>
      <c r="D6" s="48">
        <v>10000</v>
      </c>
    </row>
    <row r="7" spans="1:5" ht="19.5" thickBot="1" x14ac:dyDescent="0.35">
      <c r="A7" s="124" t="s">
        <v>190</v>
      </c>
      <c r="B7" s="125"/>
      <c r="C7" s="126"/>
      <c r="D7" s="49">
        <v>97800</v>
      </c>
    </row>
    <row r="8" spans="1:5" ht="15.75" thickBot="1" x14ac:dyDescent="0.3">
      <c r="A8" s="53"/>
      <c r="B8" s="53"/>
      <c r="C8" s="53"/>
      <c r="D8" s="53"/>
    </row>
    <row r="9" spans="1:5" ht="19.5" thickBot="1" x14ac:dyDescent="0.35">
      <c r="A9" s="124" t="s">
        <v>191</v>
      </c>
      <c r="B9" s="125"/>
      <c r="C9" s="126"/>
      <c r="D9" s="49">
        <f>SUMPRODUCT(D3:D6)</f>
        <v>97800</v>
      </c>
      <c r="E9">
        <f>SUM(D3:D6)</f>
        <v>97800</v>
      </c>
    </row>
  </sheetData>
  <mergeCells count="2">
    <mergeCell ref="A7:C7"/>
    <mergeCell ref="A9:C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I10" sqref="I10"/>
    </sheetView>
  </sheetViews>
  <sheetFormatPr defaultRowHeight="15" x14ac:dyDescent="0.25"/>
  <cols>
    <col min="1" max="1" width="15" customWidth="1"/>
    <col min="4" max="4" width="12.85546875" customWidth="1"/>
    <col min="5" max="5" width="17" customWidth="1"/>
    <col min="8" max="8" width="17.7109375" customWidth="1"/>
    <col min="9" max="9" width="15.7109375" customWidth="1"/>
    <col min="12" max="12" width="23.7109375" customWidth="1"/>
  </cols>
  <sheetData>
    <row r="1" spans="1:17" ht="19.5" customHeight="1" thickBot="1" x14ac:dyDescent="0.3"/>
    <row r="2" spans="1:17" ht="21.75" customHeight="1" thickBot="1" x14ac:dyDescent="0.35">
      <c r="A2" s="54"/>
      <c r="B2" s="54"/>
      <c r="C2" s="54"/>
      <c r="D2" s="54"/>
      <c r="E2" s="54"/>
      <c r="F2" s="54"/>
      <c r="G2" s="1"/>
      <c r="H2" s="54"/>
      <c r="I2" s="54"/>
      <c r="J2" s="1"/>
      <c r="K2" s="54"/>
      <c r="L2" s="55" t="s">
        <v>192</v>
      </c>
      <c r="M2" s="1"/>
      <c r="N2" s="1"/>
      <c r="O2" s="1"/>
      <c r="P2" s="1"/>
      <c r="Q2" s="1"/>
    </row>
    <row r="3" spans="1:17" ht="32.25" customHeight="1" thickTop="1" thickBot="1" x14ac:dyDescent="0.35">
      <c r="A3" s="56" t="s">
        <v>193</v>
      </c>
      <c r="B3" s="57" t="s">
        <v>194</v>
      </c>
      <c r="C3" s="57" t="s">
        <v>195</v>
      </c>
      <c r="D3" s="57" t="s">
        <v>196</v>
      </c>
      <c r="E3" s="57" t="s">
        <v>197</v>
      </c>
      <c r="F3" s="57" t="s">
        <v>198</v>
      </c>
      <c r="G3" s="58"/>
      <c r="H3" s="60" t="s">
        <v>193</v>
      </c>
      <c r="I3" s="60" t="s">
        <v>199</v>
      </c>
      <c r="J3" s="58"/>
      <c r="K3" s="57">
        <v>3</v>
      </c>
      <c r="L3" s="61">
        <f>MATCH(I3,$A$4:$A$9)</f>
        <v>3</v>
      </c>
      <c r="M3" s="1"/>
      <c r="N3" s="1"/>
      <c r="O3" s="1"/>
      <c r="P3" s="1"/>
      <c r="Q3" s="1"/>
    </row>
    <row r="4" spans="1:17" ht="24.75" customHeight="1" thickTop="1" thickBot="1" x14ac:dyDescent="0.35">
      <c r="A4" s="56" t="s">
        <v>200</v>
      </c>
      <c r="B4" s="57">
        <v>98</v>
      </c>
      <c r="C4" s="57">
        <v>56</v>
      </c>
      <c r="D4" s="57">
        <v>78</v>
      </c>
      <c r="E4" s="57">
        <v>45</v>
      </c>
      <c r="F4" s="57">
        <v>34</v>
      </c>
      <c r="G4" s="58"/>
      <c r="H4" s="60" t="s">
        <v>201</v>
      </c>
      <c r="I4" s="60" t="s">
        <v>197</v>
      </c>
      <c r="J4" s="58"/>
      <c r="K4" s="57">
        <v>4</v>
      </c>
      <c r="L4" s="61">
        <f>MATCH(I4,B3:F3,0)</f>
        <v>4</v>
      </c>
      <c r="M4" s="1"/>
      <c r="N4" s="1"/>
      <c r="O4" s="1"/>
      <c r="P4" s="1"/>
      <c r="Q4" s="1"/>
    </row>
    <row r="5" spans="1:17" ht="22.5" customHeight="1" thickTop="1" thickBot="1" x14ac:dyDescent="0.35">
      <c r="A5" s="56" t="s">
        <v>202</v>
      </c>
      <c r="B5" s="57">
        <v>90</v>
      </c>
      <c r="C5" s="57">
        <v>78</v>
      </c>
      <c r="D5" s="57">
        <v>90</v>
      </c>
      <c r="E5" s="57">
        <v>67</v>
      </c>
      <c r="F5" s="57">
        <v>76</v>
      </c>
      <c r="G5" s="58"/>
      <c r="H5" s="60" t="s">
        <v>203</v>
      </c>
      <c r="I5" s="62">
        <v>98</v>
      </c>
      <c r="J5" s="58"/>
      <c r="K5" s="59"/>
      <c r="L5" s="61">
        <f>INDEX(B4:F9,K3,K4)</f>
        <v>98</v>
      </c>
      <c r="M5" s="1"/>
      <c r="N5" s="1"/>
      <c r="O5" s="1"/>
      <c r="P5" s="1"/>
      <c r="Q5" s="1"/>
    </row>
    <row r="6" spans="1:17" ht="20.25" thickTop="1" thickBot="1" x14ac:dyDescent="0.35">
      <c r="A6" s="56" t="s">
        <v>199</v>
      </c>
      <c r="B6" s="57">
        <v>78</v>
      </c>
      <c r="C6" s="57">
        <v>45</v>
      </c>
      <c r="D6" s="57">
        <v>89</v>
      </c>
      <c r="E6" s="57">
        <v>98</v>
      </c>
      <c r="F6" s="57">
        <v>98</v>
      </c>
      <c r="G6" s="1"/>
      <c r="H6" s="1"/>
      <c r="I6" s="1"/>
      <c r="J6" s="1"/>
      <c r="K6" s="1"/>
      <c r="M6" s="1"/>
      <c r="N6" s="1"/>
      <c r="O6" s="1"/>
      <c r="P6" s="1"/>
      <c r="Q6" s="1"/>
    </row>
    <row r="7" spans="1:17" ht="20.25" thickTop="1" thickBot="1" x14ac:dyDescent="0.35">
      <c r="A7" s="56" t="s">
        <v>204</v>
      </c>
      <c r="B7" s="57">
        <v>69</v>
      </c>
      <c r="C7" s="57">
        <v>53</v>
      </c>
      <c r="D7" s="57">
        <v>69</v>
      </c>
      <c r="E7" s="57">
        <v>100</v>
      </c>
      <c r="F7" s="57">
        <v>70</v>
      </c>
      <c r="G7" s="1"/>
      <c r="H7" s="1"/>
      <c r="I7" s="1"/>
      <c r="J7" s="1"/>
      <c r="K7" s="1"/>
      <c r="L7" s="1">
        <f>INDEX(B4:F9,K3,K4)</f>
        <v>98</v>
      </c>
      <c r="M7" s="1"/>
      <c r="N7" s="1"/>
      <c r="O7" s="1"/>
      <c r="P7" s="1"/>
      <c r="Q7" s="1"/>
    </row>
    <row r="8" spans="1:17" ht="20.25" thickTop="1" thickBot="1" x14ac:dyDescent="0.35">
      <c r="A8" s="56" t="s">
        <v>205</v>
      </c>
      <c r="B8" s="57">
        <v>58</v>
      </c>
      <c r="C8" s="57">
        <v>72</v>
      </c>
      <c r="D8" s="57">
        <v>59</v>
      </c>
      <c r="E8" s="57">
        <v>98</v>
      </c>
      <c r="F8" s="57">
        <v>67</v>
      </c>
      <c r="G8" s="1"/>
      <c r="H8" s="60" t="s">
        <v>193</v>
      </c>
      <c r="I8" s="60" t="s">
        <v>204</v>
      </c>
      <c r="J8" s="1"/>
      <c r="K8" s="1"/>
      <c r="L8" s="1"/>
      <c r="M8" s="1"/>
      <c r="N8" s="1"/>
      <c r="O8" s="1"/>
      <c r="P8" s="1"/>
      <c r="Q8" s="1"/>
    </row>
    <row r="9" spans="1:17" ht="20.25" thickTop="1" thickBot="1" x14ac:dyDescent="0.35">
      <c r="A9" s="56" t="s">
        <v>206</v>
      </c>
      <c r="B9" s="57">
        <v>79</v>
      </c>
      <c r="C9" s="57">
        <v>89</v>
      </c>
      <c r="D9" s="57">
        <v>45</v>
      </c>
      <c r="E9" s="57">
        <v>90</v>
      </c>
      <c r="F9" s="57">
        <v>89</v>
      </c>
      <c r="G9" s="1"/>
      <c r="H9" s="60" t="s">
        <v>201</v>
      </c>
      <c r="I9" s="60" t="s">
        <v>197</v>
      </c>
      <c r="J9" s="1"/>
      <c r="K9" s="1"/>
      <c r="L9" s="1"/>
      <c r="M9" s="1"/>
      <c r="N9" s="1"/>
      <c r="O9" s="1"/>
      <c r="P9" s="1"/>
      <c r="Q9" s="1"/>
    </row>
    <row r="10" spans="1:17" ht="20.25" thickTop="1" thickBot="1" x14ac:dyDescent="0.35">
      <c r="A10" s="1"/>
      <c r="B10" s="1"/>
      <c r="C10" s="1"/>
      <c r="D10" s="1"/>
      <c r="E10" s="1"/>
      <c r="F10" s="1"/>
      <c r="G10" s="1"/>
      <c r="H10" s="60" t="s">
        <v>203</v>
      </c>
      <c r="I10" s="62">
        <v>100</v>
      </c>
      <c r="J10" s="1"/>
      <c r="K10" s="1"/>
      <c r="L10" s="1"/>
      <c r="M10" s="1"/>
      <c r="N10" s="1"/>
      <c r="O10" s="1"/>
      <c r="P10" s="1"/>
      <c r="Q10" s="1"/>
    </row>
    <row r="11" spans="1:17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9.5" thickBot="1" x14ac:dyDescent="0.3">
      <c r="A12" s="6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9.5" thickBot="1" x14ac:dyDescent="0.3">
      <c r="A13" s="6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F5" sqref="F5:G5"/>
    </sheetView>
  </sheetViews>
  <sheetFormatPr defaultRowHeight="15" x14ac:dyDescent="0.25"/>
  <cols>
    <col min="1" max="1" width="27.42578125" customWidth="1"/>
    <col min="2" max="2" width="31.42578125" customWidth="1"/>
    <col min="3" max="3" width="16.5703125" customWidth="1"/>
    <col min="4" max="4" width="13.7109375" customWidth="1"/>
    <col min="6" max="6" width="18.42578125" customWidth="1"/>
    <col min="8" max="8" width="14.28515625" customWidth="1"/>
    <col min="9" max="9" width="17.42578125" customWidth="1"/>
  </cols>
  <sheetData>
    <row r="1" spans="1:9" ht="16.5" thickTop="1" thickBot="1" x14ac:dyDescent="0.3">
      <c r="A1" s="136"/>
      <c r="B1" s="137"/>
      <c r="C1" s="137"/>
      <c r="D1" s="138"/>
      <c r="E1" s="64"/>
      <c r="F1" s="64"/>
      <c r="G1" s="64"/>
      <c r="H1" s="65"/>
      <c r="I1" s="65"/>
    </row>
    <row r="2" spans="1:9" ht="20.25" thickTop="1" thickBot="1" x14ac:dyDescent="0.3">
      <c r="A2" s="66" t="s">
        <v>193</v>
      </c>
      <c r="B2" s="67" t="s">
        <v>207</v>
      </c>
      <c r="C2" s="67" t="s">
        <v>208</v>
      </c>
      <c r="D2" s="67" t="s">
        <v>209</v>
      </c>
      <c r="E2" s="64"/>
      <c r="F2" s="64"/>
      <c r="G2" s="68"/>
      <c r="H2" s="131" t="s">
        <v>210</v>
      </c>
      <c r="I2" s="132"/>
    </row>
    <row r="3" spans="1:9" ht="19.5" thickBot="1" x14ac:dyDescent="0.3">
      <c r="A3" s="133"/>
      <c r="B3" s="134"/>
      <c r="C3" s="134"/>
      <c r="D3" s="135"/>
      <c r="E3" s="64"/>
      <c r="F3" s="64"/>
      <c r="G3" s="69"/>
      <c r="H3" s="67">
        <v>0</v>
      </c>
      <c r="I3" s="67" t="s">
        <v>211</v>
      </c>
    </row>
    <row r="4" spans="1:9" ht="29.25" customHeight="1" thickBot="1" x14ac:dyDescent="0.3">
      <c r="A4" s="66" t="s">
        <v>201</v>
      </c>
      <c r="B4" s="67" t="s">
        <v>212</v>
      </c>
      <c r="C4" s="127" t="s">
        <v>213</v>
      </c>
      <c r="D4" s="139"/>
      <c r="E4" s="64"/>
      <c r="F4" s="64"/>
      <c r="G4" s="69"/>
      <c r="H4" s="67">
        <v>40</v>
      </c>
      <c r="I4" s="67" t="s">
        <v>214</v>
      </c>
    </row>
    <row r="5" spans="1:9" ht="27.75" customHeight="1" thickBot="1" x14ac:dyDescent="0.35">
      <c r="A5" s="66" t="s">
        <v>215</v>
      </c>
      <c r="B5" s="67">
        <v>75</v>
      </c>
      <c r="C5" s="127" t="s">
        <v>214</v>
      </c>
      <c r="D5" s="128"/>
      <c r="E5" s="64"/>
      <c r="F5" s="129" t="str">
        <f>VLOOKUP(B5,$H$3:$I$4,2)</f>
        <v>PASS</v>
      </c>
      <c r="G5" s="130"/>
      <c r="H5" s="64"/>
      <c r="I5" s="64"/>
    </row>
    <row r="6" spans="1:9" ht="34.5" customHeight="1" thickBot="1" x14ac:dyDescent="0.35">
      <c r="A6" s="66" t="s">
        <v>216</v>
      </c>
      <c r="B6" s="67">
        <v>23</v>
      </c>
      <c r="C6" s="127" t="s">
        <v>211</v>
      </c>
      <c r="D6" s="128"/>
      <c r="E6" s="64"/>
      <c r="F6" s="129" t="str">
        <f t="shared" ref="F6:F8" si="0">VLOOKUP(B6,$H$3:$I$4,2)</f>
        <v>FAIL</v>
      </c>
      <c r="G6" s="130"/>
      <c r="I6" s="64"/>
    </row>
    <row r="7" spans="1:9" ht="42" customHeight="1" thickBot="1" x14ac:dyDescent="0.35">
      <c r="A7" s="66" t="s">
        <v>217</v>
      </c>
      <c r="B7" s="67">
        <v>34</v>
      </c>
      <c r="C7" s="127" t="s">
        <v>211</v>
      </c>
      <c r="D7" s="128"/>
      <c r="E7" s="64"/>
      <c r="F7" s="129" t="str">
        <f t="shared" si="0"/>
        <v>FAIL</v>
      </c>
      <c r="G7" s="130"/>
      <c r="H7" s="64"/>
      <c r="I7" s="64"/>
    </row>
    <row r="8" spans="1:9" ht="41.25" customHeight="1" thickBot="1" x14ac:dyDescent="0.35">
      <c r="A8" s="66" t="s">
        <v>218</v>
      </c>
      <c r="B8" s="67">
        <v>92</v>
      </c>
      <c r="C8" s="127" t="s">
        <v>214</v>
      </c>
      <c r="D8" s="128"/>
      <c r="E8" s="64"/>
      <c r="F8" s="129" t="str">
        <f t="shared" si="0"/>
        <v>PASS</v>
      </c>
      <c r="G8" s="130"/>
      <c r="H8" s="64"/>
      <c r="I8" s="64"/>
    </row>
    <row r="9" spans="1:9" ht="15.75" thickBot="1" x14ac:dyDescent="0.3">
      <c r="A9" s="70"/>
      <c r="B9" s="70"/>
      <c r="C9" s="70"/>
      <c r="D9" s="70"/>
      <c r="E9" s="70"/>
      <c r="F9" s="70"/>
      <c r="G9" s="70"/>
      <c r="H9" s="70"/>
      <c r="I9" s="70"/>
    </row>
    <row r="10" spans="1:9" ht="15.75" thickBot="1" x14ac:dyDescent="0.3">
      <c r="A10" s="71"/>
      <c r="B10" s="71"/>
      <c r="C10" s="71"/>
      <c r="D10" s="71"/>
      <c r="E10" s="64"/>
      <c r="F10" s="64"/>
      <c r="G10" s="64"/>
      <c r="H10" s="65"/>
      <c r="I10" s="65"/>
    </row>
    <row r="11" spans="1:9" ht="20.25" thickTop="1" thickBot="1" x14ac:dyDescent="0.3">
      <c r="A11" s="66" t="s">
        <v>193</v>
      </c>
      <c r="B11" s="67" t="s">
        <v>219</v>
      </c>
      <c r="C11" s="67" t="s">
        <v>208</v>
      </c>
      <c r="D11" s="67" t="s">
        <v>209</v>
      </c>
      <c r="E11" s="64"/>
      <c r="F11" s="64"/>
      <c r="G11" s="68"/>
      <c r="H11" s="131" t="s">
        <v>210</v>
      </c>
      <c r="I11" s="132"/>
    </row>
    <row r="12" spans="1:9" ht="19.5" thickBot="1" x14ac:dyDescent="0.3">
      <c r="A12" s="133"/>
      <c r="B12" s="134"/>
      <c r="C12" s="134"/>
      <c r="D12" s="135"/>
      <c r="E12" s="64"/>
      <c r="F12" s="64"/>
      <c r="G12" s="69"/>
      <c r="H12" s="67">
        <v>0</v>
      </c>
      <c r="I12" s="67" t="s">
        <v>211</v>
      </c>
    </row>
    <row r="13" spans="1:9" ht="19.5" thickBot="1" x14ac:dyDescent="0.3">
      <c r="A13" s="66" t="s">
        <v>201</v>
      </c>
      <c r="B13" s="67" t="s">
        <v>212</v>
      </c>
      <c r="C13" s="127" t="s">
        <v>213</v>
      </c>
      <c r="D13" s="128"/>
      <c r="E13" s="64"/>
      <c r="F13" s="64"/>
      <c r="G13" s="69"/>
      <c r="H13" s="67">
        <v>40</v>
      </c>
      <c r="I13" s="67" t="s">
        <v>214</v>
      </c>
    </row>
    <row r="14" spans="1:9" ht="19.5" thickBot="1" x14ac:dyDescent="0.3">
      <c r="A14" s="66" t="s">
        <v>215</v>
      </c>
      <c r="B14" s="67">
        <v>23</v>
      </c>
      <c r="C14" s="127" t="s">
        <v>211</v>
      </c>
      <c r="D14" s="128"/>
      <c r="E14" s="64"/>
      <c r="F14" s="64"/>
      <c r="G14" s="69"/>
      <c r="H14" s="67">
        <v>60</v>
      </c>
      <c r="I14" s="67" t="s">
        <v>220</v>
      </c>
    </row>
    <row r="15" spans="1:9" ht="19.5" thickBot="1" x14ac:dyDescent="0.3">
      <c r="A15" s="66" t="s">
        <v>216</v>
      </c>
      <c r="B15" s="67">
        <v>89</v>
      </c>
      <c r="C15" s="127" t="s">
        <v>220</v>
      </c>
      <c r="D15" s="128"/>
      <c r="E15" s="64"/>
      <c r="F15" s="64"/>
      <c r="G15" s="69"/>
      <c r="H15" s="67">
        <v>90</v>
      </c>
      <c r="I15" s="67" t="s">
        <v>221</v>
      </c>
    </row>
    <row r="16" spans="1:9" ht="38.25" thickBot="1" x14ac:dyDescent="0.3">
      <c r="A16" s="66" t="s">
        <v>217</v>
      </c>
      <c r="B16" s="67">
        <v>34</v>
      </c>
      <c r="C16" s="127" t="s">
        <v>211</v>
      </c>
      <c r="D16" s="128"/>
      <c r="E16" s="64"/>
      <c r="F16" s="64"/>
      <c r="G16" s="64"/>
      <c r="H16" s="64"/>
      <c r="I16" s="64"/>
    </row>
    <row r="17" spans="1:9" ht="38.25" thickBot="1" x14ac:dyDescent="0.3">
      <c r="A17" s="66" t="s">
        <v>218</v>
      </c>
      <c r="B17" s="67">
        <v>92</v>
      </c>
      <c r="C17" s="127" t="s">
        <v>221</v>
      </c>
      <c r="D17" s="128"/>
      <c r="E17" s="64"/>
      <c r="F17" s="64"/>
      <c r="G17" s="64"/>
      <c r="H17" s="64"/>
      <c r="I17" s="64"/>
    </row>
    <row r="18" spans="1:9" ht="15.75" thickBot="1" x14ac:dyDescent="0.3">
      <c r="A18" s="64"/>
      <c r="B18" s="64"/>
      <c r="C18" s="64"/>
      <c r="D18" s="64"/>
      <c r="E18" s="64"/>
      <c r="F18" s="64"/>
      <c r="G18" s="64"/>
      <c r="H18" s="64"/>
      <c r="I18" s="64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</sheetData>
  <mergeCells count="19">
    <mergeCell ref="H11:I11"/>
    <mergeCell ref="A12:D12"/>
    <mergeCell ref="C13:D13"/>
    <mergeCell ref="C14:D14"/>
    <mergeCell ref="A1:D1"/>
    <mergeCell ref="H2:I2"/>
    <mergeCell ref="A3:D3"/>
    <mergeCell ref="C4:D4"/>
    <mergeCell ref="C5:D5"/>
    <mergeCell ref="C6:D6"/>
    <mergeCell ref="C15:D15"/>
    <mergeCell ref="C16:D16"/>
    <mergeCell ref="C17:D17"/>
    <mergeCell ref="F5:G5"/>
    <mergeCell ref="F6:G6"/>
    <mergeCell ref="F7:G7"/>
    <mergeCell ref="F8:G8"/>
    <mergeCell ref="C7:D7"/>
    <mergeCell ref="C8:D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L3" sqref="L3"/>
    </sheetView>
  </sheetViews>
  <sheetFormatPr defaultRowHeight="15" x14ac:dyDescent="0.25"/>
  <cols>
    <col min="2" max="2" width="18.7109375" customWidth="1"/>
    <col min="3" max="3" width="11.7109375" customWidth="1"/>
    <col min="4" max="4" width="22.7109375" customWidth="1"/>
    <col min="5" max="5" width="17" customWidth="1"/>
    <col min="6" max="6" width="14.85546875" customWidth="1"/>
    <col min="10" max="10" width="16.42578125" customWidth="1"/>
    <col min="11" max="11" width="27.7109375" customWidth="1"/>
  </cols>
  <sheetData>
    <row r="1" spans="1:11" ht="32.25" thickBot="1" x14ac:dyDescent="0.3">
      <c r="A1" s="74" t="s">
        <v>222</v>
      </c>
      <c r="B1" s="72" t="s">
        <v>223</v>
      </c>
      <c r="C1" s="72" t="s">
        <v>125</v>
      </c>
      <c r="D1" s="72" t="s">
        <v>244</v>
      </c>
      <c r="E1" s="72" t="s">
        <v>245</v>
      </c>
      <c r="F1" s="72" t="s">
        <v>246</v>
      </c>
      <c r="G1" s="77"/>
      <c r="H1" s="77"/>
    </row>
    <row r="2" spans="1:11" ht="16.5" thickBot="1" x14ac:dyDescent="0.3">
      <c r="A2" s="73">
        <v>1</v>
      </c>
      <c r="B2" s="75" t="s">
        <v>224</v>
      </c>
      <c r="C2" s="75" t="s">
        <v>225</v>
      </c>
      <c r="D2" s="75" t="s">
        <v>247</v>
      </c>
      <c r="E2" s="75">
        <v>64</v>
      </c>
      <c r="F2" s="76" t="s">
        <v>252</v>
      </c>
      <c r="G2" s="78"/>
      <c r="H2" s="78"/>
      <c r="J2" s="80" t="s">
        <v>223</v>
      </c>
      <c r="K2" s="82" t="s">
        <v>236</v>
      </c>
    </row>
    <row r="3" spans="1:11" ht="16.5" thickBot="1" x14ac:dyDescent="0.3">
      <c r="A3" s="73">
        <v>2</v>
      </c>
      <c r="B3" s="75" t="s">
        <v>226</v>
      </c>
      <c r="C3" s="75" t="s">
        <v>227</v>
      </c>
      <c r="D3" s="75" t="s">
        <v>248</v>
      </c>
      <c r="E3" s="75">
        <v>85</v>
      </c>
      <c r="F3" s="76" t="s">
        <v>253</v>
      </c>
      <c r="G3" s="78"/>
      <c r="H3" s="78"/>
      <c r="J3" s="80" t="s">
        <v>125</v>
      </c>
      <c r="K3" s="81" t="str">
        <f>VLOOKUP(K2,$B$2:$F$11,2,FALSE)</f>
        <v>Gayathri R</v>
      </c>
    </row>
    <row r="4" spans="1:11" ht="16.5" thickBot="1" x14ac:dyDescent="0.3">
      <c r="A4" s="73">
        <v>3</v>
      </c>
      <c r="B4" s="75" t="s">
        <v>228</v>
      </c>
      <c r="C4" s="75" t="s">
        <v>229</v>
      </c>
      <c r="D4" s="75" t="s">
        <v>249</v>
      </c>
      <c r="E4" s="75">
        <v>87</v>
      </c>
      <c r="F4" s="76" t="s">
        <v>252</v>
      </c>
      <c r="G4" s="78"/>
      <c r="H4" s="78"/>
      <c r="J4" s="80" t="s">
        <v>244</v>
      </c>
      <c r="K4" s="81" t="str">
        <f>VLOOKUP(K2,$B$2:$F$11,3,FALSE)</f>
        <v>MBA</v>
      </c>
    </row>
    <row r="5" spans="1:11" ht="16.5" thickBot="1" x14ac:dyDescent="0.3">
      <c r="A5" s="73">
        <v>4</v>
      </c>
      <c r="B5" s="75" t="s">
        <v>230</v>
      </c>
      <c r="C5" s="75" t="s">
        <v>231</v>
      </c>
      <c r="D5" s="75" t="s">
        <v>250</v>
      </c>
      <c r="E5" s="75">
        <v>63</v>
      </c>
      <c r="F5" s="76" t="s">
        <v>253</v>
      </c>
      <c r="G5" s="78"/>
      <c r="H5" s="78"/>
      <c r="J5" s="80" t="s">
        <v>245</v>
      </c>
      <c r="K5" s="81">
        <f>VLOOKUP(K2,$B$2:$F$11,4,FALSE)</f>
        <v>96</v>
      </c>
    </row>
    <row r="6" spans="1:11" ht="16.5" thickBot="1" x14ac:dyDescent="0.3">
      <c r="A6" s="73">
        <v>5</v>
      </c>
      <c r="B6" s="75" t="s">
        <v>232</v>
      </c>
      <c r="C6" s="75" t="s">
        <v>233</v>
      </c>
      <c r="D6" s="75" t="s">
        <v>251</v>
      </c>
      <c r="E6" s="75">
        <v>45</v>
      </c>
      <c r="F6" s="76" t="s">
        <v>252</v>
      </c>
      <c r="G6" s="78"/>
      <c r="H6" s="78"/>
      <c r="J6" s="80" t="s">
        <v>246</v>
      </c>
      <c r="K6" s="81" t="str">
        <f>VLOOKUP(K2,$B$2:$F$11,5,FALSE)</f>
        <v>Absent</v>
      </c>
    </row>
    <row r="7" spans="1:11" ht="16.5" thickBot="1" x14ac:dyDescent="0.3">
      <c r="A7" s="73">
        <v>6</v>
      </c>
      <c r="B7" s="75" t="s">
        <v>234</v>
      </c>
      <c r="C7" s="75" t="s">
        <v>235</v>
      </c>
      <c r="D7" s="75" t="s">
        <v>248</v>
      </c>
      <c r="E7" s="75">
        <v>85</v>
      </c>
      <c r="F7" s="76" t="s">
        <v>253</v>
      </c>
      <c r="G7" s="78"/>
      <c r="H7" s="78"/>
    </row>
    <row r="8" spans="1:11" ht="16.5" thickBot="1" x14ac:dyDescent="0.3">
      <c r="A8" s="79">
        <v>7</v>
      </c>
      <c r="B8" s="76" t="s">
        <v>236</v>
      </c>
      <c r="C8" s="76" t="s">
        <v>237</v>
      </c>
      <c r="D8" s="76" t="s">
        <v>249</v>
      </c>
      <c r="E8" s="76">
        <v>96</v>
      </c>
      <c r="F8" s="76" t="s">
        <v>252</v>
      </c>
      <c r="G8" s="78"/>
      <c r="H8" s="78"/>
    </row>
    <row r="9" spans="1:11" ht="16.5" thickBot="1" x14ac:dyDescent="0.3">
      <c r="A9" s="73">
        <v>8</v>
      </c>
      <c r="B9" s="75" t="s">
        <v>238</v>
      </c>
      <c r="C9" s="75" t="s">
        <v>239</v>
      </c>
      <c r="D9" s="75" t="s">
        <v>247</v>
      </c>
      <c r="E9" s="75">
        <v>75</v>
      </c>
      <c r="F9" s="76" t="s">
        <v>253</v>
      </c>
      <c r="G9" s="78"/>
      <c r="H9" s="78"/>
    </row>
    <row r="10" spans="1:11" ht="16.5" thickBot="1" x14ac:dyDescent="0.3">
      <c r="A10" s="73">
        <v>9</v>
      </c>
      <c r="B10" s="75" t="s">
        <v>240</v>
      </c>
      <c r="C10" s="75" t="s">
        <v>241</v>
      </c>
      <c r="D10" s="75" t="s">
        <v>250</v>
      </c>
      <c r="E10" s="75">
        <v>46</v>
      </c>
      <c r="F10" s="76" t="s">
        <v>252</v>
      </c>
      <c r="G10" s="78"/>
      <c r="H10" s="78"/>
    </row>
    <row r="11" spans="1:11" ht="16.5" thickBot="1" x14ac:dyDescent="0.3">
      <c r="A11" s="73">
        <v>10</v>
      </c>
      <c r="B11" s="75" t="s">
        <v>242</v>
      </c>
      <c r="C11" s="75" t="s">
        <v>243</v>
      </c>
      <c r="D11" s="75" t="s">
        <v>251</v>
      </c>
      <c r="E11" s="75">
        <v>96</v>
      </c>
      <c r="F11" s="76" t="s">
        <v>253</v>
      </c>
      <c r="G11" s="78"/>
      <c r="H11" s="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H10" sqref="H10"/>
    </sheetView>
  </sheetViews>
  <sheetFormatPr defaultRowHeight="15" x14ac:dyDescent="0.25"/>
  <cols>
    <col min="1" max="1" width="19" customWidth="1"/>
    <col min="2" max="3" width="16.7109375" customWidth="1"/>
    <col min="4" max="4" width="14.28515625" customWidth="1"/>
    <col min="5" max="5" width="16.7109375" customWidth="1"/>
    <col min="7" max="7" width="15.85546875" customWidth="1"/>
    <col min="8" max="8" width="17.7109375" customWidth="1"/>
    <col min="9" max="9" width="20" customWidth="1"/>
  </cols>
  <sheetData>
    <row r="1" spans="1:9" ht="15.75" thickBot="1" x14ac:dyDescent="0.3">
      <c r="A1" s="87"/>
      <c r="B1" s="87"/>
      <c r="C1" s="87"/>
      <c r="D1" s="87"/>
      <c r="E1" s="87"/>
    </row>
    <row r="2" spans="1:9" ht="15.75" thickBot="1" x14ac:dyDescent="0.3">
      <c r="A2" s="85"/>
      <c r="B2" s="85"/>
      <c r="C2" s="85"/>
      <c r="D2" s="85"/>
      <c r="E2" s="85"/>
    </row>
    <row r="3" spans="1:9" ht="25.5" customHeight="1" thickBot="1" x14ac:dyDescent="0.3">
      <c r="A3" s="88" t="s">
        <v>254</v>
      </c>
      <c r="B3" s="84">
        <v>1000000</v>
      </c>
      <c r="C3" s="85"/>
      <c r="D3" s="85"/>
      <c r="E3" s="85"/>
    </row>
    <row r="4" spans="1:9" ht="23.25" customHeight="1" thickBot="1" x14ac:dyDescent="0.3">
      <c r="A4" s="88" t="s">
        <v>255</v>
      </c>
      <c r="B4" s="84">
        <v>590490</v>
      </c>
      <c r="C4" s="85"/>
      <c r="D4" s="85"/>
      <c r="E4" s="85"/>
    </row>
    <row r="5" spans="1:9" ht="23.25" customHeight="1" thickBot="1" x14ac:dyDescent="0.3">
      <c r="A5" s="88" t="s">
        <v>256</v>
      </c>
      <c r="B5" s="85">
        <v>5</v>
      </c>
      <c r="C5" s="85"/>
      <c r="D5" s="85"/>
      <c r="E5" s="85"/>
    </row>
    <row r="6" spans="1:9" ht="42" customHeight="1" thickBot="1" x14ac:dyDescent="0.3">
      <c r="A6" s="88" t="s">
        <v>257</v>
      </c>
      <c r="B6" s="86">
        <f>SLN(B3,B4,B5)</f>
        <v>81902</v>
      </c>
      <c r="C6" s="85"/>
      <c r="D6" s="85" t="s">
        <v>258</v>
      </c>
      <c r="E6" s="85"/>
    </row>
    <row r="7" spans="1:9" ht="15.75" thickBot="1" x14ac:dyDescent="0.3">
      <c r="A7" s="85"/>
      <c r="B7" s="85"/>
      <c r="C7" s="85"/>
      <c r="D7" s="85" t="s">
        <v>259</v>
      </c>
      <c r="E7" s="85"/>
    </row>
    <row r="8" spans="1:9" ht="35.25" customHeight="1" thickBot="1" x14ac:dyDescent="0.3">
      <c r="A8" s="89" t="s">
        <v>260</v>
      </c>
      <c r="B8" s="85"/>
      <c r="C8" s="85"/>
      <c r="D8" s="85"/>
      <c r="E8" s="85"/>
    </row>
    <row r="9" spans="1:9" ht="21" customHeight="1" thickBot="1" x14ac:dyDescent="0.3">
      <c r="A9" s="85"/>
      <c r="B9" s="85" t="s">
        <v>128</v>
      </c>
      <c r="C9" s="85" t="s">
        <v>261</v>
      </c>
      <c r="D9" s="85" t="s">
        <v>262</v>
      </c>
      <c r="E9" s="85" t="s">
        <v>263</v>
      </c>
      <c r="G9" s="91" t="s">
        <v>261</v>
      </c>
      <c r="H9" s="91" t="s">
        <v>262</v>
      </c>
      <c r="I9" s="91" t="s">
        <v>263</v>
      </c>
    </row>
    <row r="10" spans="1:9" ht="15.75" thickBot="1" x14ac:dyDescent="0.3">
      <c r="A10" s="85"/>
      <c r="B10" s="85">
        <v>1</v>
      </c>
      <c r="C10" s="90">
        <f>B3</f>
        <v>1000000</v>
      </c>
      <c r="D10" s="90">
        <f>$B$6</f>
        <v>81902</v>
      </c>
      <c r="E10" s="90">
        <f>C10-D10</f>
        <v>918098</v>
      </c>
      <c r="G10" s="99">
        <f>B3</f>
        <v>1000000</v>
      </c>
      <c r="H10" s="99">
        <f>$B$6</f>
        <v>81902</v>
      </c>
      <c r="I10" s="99">
        <f>G10-H10</f>
        <v>918098</v>
      </c>
    </row>
    <row r="11" spans="1:9" ht="15.75" thickBot="1" x14ac:dyDescent="0.3">
      <c r="A11" s="85"/>
      <c r="B11" s="85">
        <v>2</v>
      </c>
      <c r="C11" s="90">
        <f>E10</f>
        <v>918098</v>
      </c>
      <c r="D11" s="90">
        <f>$B$6</f>
        <v>81902</v>
      </c>
      <c r="E11" s="90">
        <f>C11-D11</f>
        <v>836196</v>
      </c>
      <c r="G11" s="99">
        <f>I10</f>
        <v>918098</v>
      </c>
      <c r="H11" s="99">
        <f>$B$6</f>
        <v>81902</v>
      </c>
      <c r="I11" s="99">
        <f>G11-H11</f>
        <v>836196</v>
      </c>
    </row>
    <row r="12" spans="1:9" ht="15.75" thickBot="1" x14ac:dyDescent="0.3">
      <c r="A12" s="85"/>
      <c r="B12" s="85">
        <v>3</v>
      </c>
      <c r="C12" s="90">
        <f t="shared" ref="C12:C14" si="0">E11</f>
        <v>836196</v>
      </c>
      <c r="D12" s="90">
        <f t="shared" ref="D12:D14" si="1">$B$6</f>
        <v>81902</v>
      </c>
      <c r="E12" s="90">
        <f t="shared" ref="E12:E14" si="2">C12-D12</f>
        <v>754294</v>
      </c>
      <c r="G12" s="99">
        <f t="shared" ref="G12:G14" si="3">I11</f>
        <v>836196</v>
      </c>
      <c r="H12" s="99">
        <f t="shared" ref="H12:H14" si="4">$B$6</f>
        <v>81902</v>
      </c>
      <c r="I12" s="99">
        <f t="shared" ref="I12:I14" si="5">G12-H12</f>
        <v>754294</v>
      </c>
    </row>
    <row r="13" spans="1:9" ht="15.75" thickBot="1" x14ac:dyDescent="0.3">
      <c r="A13" s="85"/>
      <c r="B13" s="85">
        <v>4</v>
      </c>
      <c r="C13" s="90">
        <f t="shared" si="0"/>
        <v>754294</v>
      </c>
      <c r="D13" s="90">
        <f t="shared" si="1"/>
        <v>81902</v>
      </c>
      <c r="E13" s="90">
        <f t="shared" si="2"/>
        <v>672392</v>
      </c>
      <c r="G13" s="99">
        <f t="shared" si="3"/>
        <v>754294</v>
      </c>
      <c r="H13" s="99">
        <f t="shared" si="4"/>
        <v>81902</v>
      </c>
      <c r="I13" s="99">
        <f t="shared" si="5"/>
        <v>672392</v>
      </c>
    </row>
    <row r="14" spans="1:9" ht="15.75" thickBot="1" x14ac:dyDescent="0.3">
      <c r="A14" s="85"/>
      <c r="B14" s="85">
        <v>5</v>
      </c>
      <c r="C14" s="90">
        <f t="shared" si="0"/>
        <v>672392</v>
      </c>
      <c r="D14" s="90">
        <f t="shared" si="1"/>
        <v>81902</v>
      </c>
      <c r="E14" s="90">
        <f t="shared" si="2"/>
        <v>590490</v>
      </c>
      <c r="G14" s="99">
        <f t="shared" si="3"/>
        <v>672392</v>
      </c>
      <c r="H14" s="99">
        <f t="shared" si="4"/>
        <v>81902</v>
      </c>
      <c r="I14" s="99">
        <f t="shared" si="5"/>
        <v>590490</v>
      </c>
    </row>
    <row r="17" spans="1:4" x14ac:dyDescent="0.25">
      <c r="B17" s="92"/>
    </row>
    <row r="18" spans="1:4" x14ac:dyDescent="0.25">
      <c r="A18">
        <v>5</v>
      </c>
    </row>
    <row r="19" spans="1:4" ht="19.5" customHeight="1" thickBot="1" x14ac:dyDescent="0.3">
      <c r="A19" s="93" t="s">
        <v>264</v>
      </c>
    </row>
    <row r="20" spans="1:4" ht="15.75" thickBot="1" x14ac:dyDescent="0.3">
      <c r="A20" s="95" t="s">
        <v>128</v>
      </c>
      <c r="B20" s="96" t="s">
        <v>265</v>
      </c>
      <c r="C20" s="96" t="s">
        <v>262</v>
      </c>
      <c r="D20" s="95" t="s">
        <v>263</v>
      </c>
    </row>
    <row r="21" spans="1:4" x14ac:dyDescent="0.25">
      <c r="A21" s="97">
        <v>1</v>
      </c>
      <c r="B21" s="98">
        <f>B3</f>
        <v>1000000</v>
      </c>
      <c r="C21" s="98">
        <f>DB($B$3,$B$4,$B$5,A21)</f>
        <v>100000</v>
      </c>
      <c r="D21" s="98">
        <f>B21-C21</f>
        <v>900000</v>
      </c>
    </row>
    <row r="22" spans="1:4" x14ac:dyDescent="0.25">
      <c r="A22" s="97">
        <v>2</v>
      </c>
      <c r="B22" s="98">
        <f>D21</f>
        <v>900000</v>
      </c>
      <c r="C22" s="98">
        <f>DB($B$3,$B$4,$B$5,A22)</f>
        <v>90000</v>
      </c>
      <c r="D22" s="98">
        <f>B22-C22</f>
        <v>810000</v>
      </c>
    </row>
    <row r="23" spans="1:4" x14ac:dyDescent="0.25">
      <c r="A23" s="97">
        <v>3</v>
      </c>
      <c r="B23" s="98">
        <f t="shared" ref="B23:B25" si="6">D22</f>
        <v>810000</v>
      </c>
      <c r="C23" s="98">
        <f t="shared" ref="C23:C25" si="7">DB($B$3,$B$4,$B$5,A23)</f>
        <v>81000</v>
      </c>
      <c r="D23" s="98">
        <f t="shared" ref="D23:D25" si="8">B23-C23</f>
        <v>729000</v>
      </c>
    </row>
    <row r="24" spans="1:4" x14ac:dyDescent="0.25">
      <c r="A24" s="97">
        <v>4</v>
      </c>
      <c r="B24" s="98">
        <f t="shared" si="6"/>
        <v>729000</v>
      </c>
      <c r="C24" s="98">
        <f t="shared" si="7"/>
        <v>72900</v>
      </c>
      <c r="D24" s="98">
        <f t="shared" si="8"/>
        <v>656100</v>
      </c>
    </row>
    <row r="25" spans="1:4" x14ac:dyDescent="0.25">
      <c r="A25" s="97">
        <v>5</v>
      </c>
      <c r="B25" s="98">
        <f t="shared" si="6"/>
        <v>656100</v>
      </c>
      <c r="C25" s="98">
        <f t="shared" si="7"/>
        <v>65610</v>
      </c>
      <c r="D25" s="98">
        <f t="shared" si="8"/>
        <v>590490</v>
      </c>
    </row>
    <row r="26" spans="1:4" x14ac:dyDescent="0.25">
      <c r="B26" s="94"/>
      <c r="C26" s="94"/>
      <c r="D26" s="94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7" sqref="B7"/>
    </sheetView>
  </sheetViews>
  <sheetFormatPr defaultRowHeight="15" x14ac:dyDescent="0.25"/>
  <cols>
    <col min="1" max="1" width="22.7109375" customWidth="1"/>
    <col min="2" max="2" width="16.42578125" customWidth="1"/>
  </cols>
  <sheetData>
    <row r="1" spans="1:2" ht="15.75" thickBot="1" x14ac:dyDescent="0.3"/>
    <row r="2" spans="1:2" ht="25.5" customHeight="1" thickBot="1" x14ac:dyDescent="0.3">
      <c r="A2" s="102" t="s">
        <v>266</v>
      </c>
      <c r="B2" s="83">
        <v>100000</v>
      </c>
    </row>
    <row r="3" spans="1:2" ht="30" customHeight="1" thickBot="1" x14ac:dyDescent="0.3">
      <c r="A3" s="102" t="s">
        <v>267</v>
      </c>
      <c r="B3" s="100">
        <v>0.11</v>
      </c>
    </row>
    <row r="4" spans="1:2" ht="25.5" customHeight="1" thickBot="1" x14ac:dyDescent="0.3">
      <c r="A4" s="102" t="s">
        <v>268</v>
      </c>
      <c r="B4" s="36">
        <v>20</v>
      </c>
    </row>
    <row r="5" spans="1:2" ht="15.75" thickBot="1" x14ac:dyDescent="0.3">
      <c r="A5" s="102"/>
      <c r="B5" s="36"/>
    </row>
    <row r="6" spans="1:2" ht="24.75" customHeight="1" thickBot="1" x14ac:dyDescent="0.3">
      <c r="A6" s="103" t="s">
        <v>269</v>
      </c>
      <c r="B6" s="104">
        <v>6420283</v>
      </c>
    </row>
    <row r="7" spans="1:2" x14ac:dyDescent="0.25">
      <c r="B7" s="105">
        <f>FV(B3,B4,-B2,0)</f>
        <v>6420283.2146628667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D5" sqref="D5"/>
    </sheetView>
  </sheetViews>
  <sheetFormatPr defaultRowHeight="15" x14ac:dyDescent="0.25"/>
  <cols>
    <col min="1" max="1" width="30" customWidth="1"/>
    <col min="2" max="2" width="17" customWidth="1"/>
    <col min="3" max="3" width="18.7109375" customWidth="1"/>
  </cols>
  <sheetData>
    <row r="1" spans="1:3" ht="31.5" customHeight="1" thickBot="1" x14ac:dyDescent="0.3">
      <c r="C1" s="85"/>
    </row>
    <row r="2" spans="1:3" ht="23.25" customHeight="1" thickBot="1" x14ac:dyDescent="0.3">
      <c r="A2" s="107" t="s">
        <v>270</v>
      </c>
      <c r="B2" s="84">
        <v>1000000</v>
      </c>
      <c r="C2" s="85"/>
    </row>
    <row r="3" spans="1:3" ht="27" customHeight="1" thickBot="1" x14ac:dyDescent="0.3">
      <c r="A3" s="107" t="s">
        <v>271</v>
      </c>
      <c r="B3" s="85">
        <v>10</v>
      </c>
      <c r="C3" s="85"/>
    </row>
    <row r="4" spans="1:3" ht="41.25" customHeight="1" thickBot="1" x14ac:dyDescent="0.3">
      <c r="A4" s="107" t="s">
        <v>272</v>
      </c>
      <c r="B4" s="101">
        <v>0.08</v>
      </c>
      <c r="C4" s="106"/>
    </row>
    <row r="5" spans="1:3" ht="30.75" thickBot="1" x14ac:dyDescent="0.3">
      <c r="A5" s="107" t="s">
        <v>273</v>
      </c>
      <c r="B5" s="84">
        <v>463193</v>
      </c>
      <c r="C5" s="108">
        <f>PV(B4,B3,0,-B2)</f>
        <v>463193.48808468424</v>
      </c>
    </row>
    <row r="6" spans="1:3" ht="15.75" thickBot="1" x14ac:dyDescent="0.3">
      <c r="A6" s="107"/>
      <c r="B6" s="85"/>
      <c r="C6" s="88"/>
    </row>
    <row r="7" spans="1:3" ht="15.75" thickBot="1" x14ac:dyDescent="0.3">
      <c r="A7" s="107"/>
      <c r="B7" s="85"/>
      <c r="C7" s="88"/>
    </row>
    <row r="8" spans="1:3" ht="21.75" customHeight="1" thickBot="1" x14ac:dyDescent="0.3">
      <c r="A8" s="107"/>
      <c r="B8" s="85"/>
      <c r="C8" s="88"/>
    </row>
    <row r="9" spans="1:3" ht="25.5" customHeight="1" thickBot="1" x14ac:dyDescent="0.3">
      <c r="A9" s="107" t="s">
        <v>274</v>
      </c>
      <c r="B9" s="84">
        <v>200000</v>
      </c>
      <c r="C9" s="88"/>
    </row>
    <row r="10" spans="1:3" ht="15.75" thickBot="1" x14ac:dyDescent="0.3">
      <c r="A10" s="107" t="s">
        <v>275</v>
      </c>
      <c r="B10" s="84">
        <v>39224</v>
      </c>
      <c r="C10" s="109">
        <f>PMT(B4,B3,B9,-B2)</f>
        <v>39223.590957660323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5" x14ac:dyDescent="0.25"/>
  <cols>
    <col min="1" max="1" width="19.7109375" customWidth="1"/>
    <col min="2" max="2" width="10.5703125" customWidth="1"/>
  </cols>
  <sheetData>
    <row r="1" spans="1:2" ht="15.75" thickBot="1" x14ac:dyDescent="0.3"/>
    <row r="2" spans="1:2" ht="17.25" customHeight="1" thickBot="1" x14ac:dyDescent="0.3">
      <c r="A2" s="1" t="s">
        <v>276</v>
      </c>
      <c r="B2" s="36">
        <v>2000</v>
      </c>
    </row>
    <row r="3" spans="1:2" ht="17.25" customHeight="1" thickBot="1" x14ac:dyDescent="0.3">
      <c r="A3" s="1" t="s">
        <v>277</v>
      </c>
      <c r="B3" s="36">
        <v>8000</v>
      </c>
    </row>
    <row r="4" spans="1:2" ht="18" customHeight="1" thickBot="1" x14ac:dyDescent="0.3">
      <c r="A4" s="1" t="s">
        <v>271</v>
      </c>
      <c r="B4" s="36">
        <v>7</v>
      </c>
    </row>
    <row r="5" spans="1:2" ht="15.75" thickBot="1" x14ac:dyDescent="0.3">
      <c r="A5" s="1"/>
      <c r="B5" s="1"/>
    </row>
    <row r="6" spans="1:2" ht="15.75" thickBot="1" x14ac:dyDescent="0.3">
      <c r="A6" s="1" t="s">
        <v>278</v>
      </c>
      <c r="B6" s="118">
        <f>(B3/B2)^(1/7)-1</f>
        <v>0.21901365420447538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A2" sqref="A2:A64"/>
    </sheetView>
  </sheetViews>
  <sheetFormatPr defaultRowHeight="15" x14ac:dyDescent="0.25"/>
  <cols>
    <col min="1" max="1" width="18.28515625" customWidth="1"/>
    <col min="2" max="2" width="18.85546875" customWidth="1"/>
    <col min="4" max="4" width="18.140625" customWidth="1"/>
  </cols>
  <sheetData>
    <row r="1" spans="1:5" ht="35.25" customHeight="1" thickBot="1" x14ac:dyDescent="0.4">
      <c r="A1" s="113" t="s">
        <v>286</v>
      </c>
      <c r="B1" s="114" t="s">
        <v>281</v>
      </c>
    </row>
    <row r="2" spans="1:5" ht="15.75" thickBot="1" x14ac:dyDescent="0.3">
      <c r="A2" s="111" t="s">
        <v>279</v>
      </c>
      <c r="B2" s="112" t="s">
        <v>280</v>
      </c>
    </row>
    <row r="3" spans="1:5" ht="15.75" thickBot="1" x14ac:dyDescent="0.3">
      <c r="A3" s="110">
        <v>42132</v>
      </c>
      <c r="B3" s="36">
        <v>375.25</v>
      </c>
      <c r="D3" s="115" t="s">
        <v>282</v>
      </c>
      <c r="E3" s="116">
        <f>AVERAGE(B3:B64)</f>
        <v>329.06612903225806</v>
      </c>
    </row>
    <row r="4" spans="1:5" ht="15.75" thickBot="1" x14ac:dyDescent="0.3">
      <c r="A4" s="110">
        <v>42135</v>
      </c>
      <c r="B4" s="36">
        <v>378.35</v>
      </c>
      <c r="D4" s="115" t="s">
        <v>283</v>
      </c>
      <c r="E4" s="116">
        <f>MAX(B3:B64)</f>
        <v>408.75</v>
      </c>
    </row>
    <row r="5" spans="1:5" ht="15.75" thickBot="1" x14ac:dyDescent="0.3">
      <c r="A5" s="110">
        <v>42136</v>
      </c>
      <c r="B5" s="36">
        <v>357.05</v>
      </c>
      <c r="D5" s="115" t="s">
        <v>284</v>
      </c>
      <c r="E5" s="116">
        <f>MIN(B3:B64)</f>
        <v>253.1</v>
      </c>
    </row>
    <row r="6" spans="1:5" ht="15.75" thickBot="1" x14ac:dyDescent="0.3">
      <c r="A6" s="110">
        <v>42137</v>
      </c>
      <c r="B6" s="36">
        <v>358.35</v>
      </c>
      <c r="D6" s="115" t="s">
        <v>285</v>
      </c>
      <c r="E6" s="117">
        <f>_xlfn.STDEV.S(B3:B64)</f>
        <v>41.219753714031455</v>
      </c>
    </row>
    <row r="7" spans="1:5" ht="15.75" thickBot="1" x14ac:dyDescent="0.3">
      <c r="A7" s="110">
        <v>42138</v>
      </c>
      <c r="B7" s="36">
        <v>360.45</v>
      </c>
    </row>
    <row r="8" spans="1:5" ht="15.75" thickBot="1" x14ac:dyDescent="0.3">
      <c r="A8" s="110">
        <v>42139</v>
      </c>
      <c r="B8" s="36">
        <v>356.2</v>
      </c>
    </row>
    <row r="9" spans="1:5" ht="15.75" thickBot="1" x14ac:dyDescent="0.3">
      <c r="A9" s="110">
        <v>42142</v>
      </c>
      <c r="B9" s="36">
        <v>367.2</v>
      </c>
    </row>
    <row r="10" spans="1:5" ht="15.75" thickBot="1" x14ac:dyDescent="0.3">
      <c r="A10" s="110">
        <v>42143</v>
      </c>
      <c r="B10" s="36">
        <v>375.25</v>
      </c>
    </row>
    <row r="11" spans="1:5" ht="15.75" thickBot="1" x14ac:dyDescent="0.3">
      <c r="A11" s="110">
        <v>42144</v>
      </c>
      <c r="B11" s="36">
        <v>381.6</v>
      </c>
    </row>
    <row r="12" spans="1:5" ht="15.75" thickBot="1" x14ac:dyDescent="0.3">
      <c r="A12" s="110">
        <v>42145</v>
      </c>
      <c r="B12" s="36">
        <v>378.1</v>
      </c>
    </row>
    <row r="13" spans="1:5" ht="15.75" thickBot="1" x14ac:dyDescent="0.3">
      <c r="A13" s="110">
        <v>42146</v>
      </c>
      <c r="B13" s="36">
        <v>371.55</v>
      </c>
    </row>
    <row r="14" spans="1:5" ht="15.75" thickBot="1" x14ac:dyDescent="0.3">
      <c r="A14" s="110">
        <v>42149</v>
      </c>
      <c r="B14" s="36">
        <v>366.6</v>
      </c>
    </row>
    <row r="15" spans="1:5" ht="15.75" thickBot="1" x14ac:dyDescent="0.3">
      <c r="A15" s="110">
        <v>42150</v>
      </c>
      <c r="B15" s="36">
        <v>368.6</v>
      </c>
    </row>
    <row r="16" spans="1:5" ht="15.75" thickBot="1" x14ac:dyDescent="0.3">
      <c r="A16" s="110">
        <v>42151</v>
      </c>
      <c r="B16" s="36">
        <v>372.25</v>
      </c>
    </row>
    <row r="17" spans="1:2" ht="15.75" thickBot="1" x14ac:dyDescent="0.3">
      <c r="A17" s="110">
        <v>42152</v>
      </c>
      <c r="B17" s="36">
        <v>384.7</v>
      </c>
    </row>
    <row r="18" spans="1:2" ht="15.75" thickBot="1" x14ac:dyDescent="0.3">
      <c r="A18" s="110">
        <v>42153</v>
      </c>
      <c r="B18" s="36">
        <v>384.5</v>
      </c>
    </row>
    <row r="19" spans="1:2" ht="15.75" thickBot="1" x14ac:dyDescent="0.3">
      <c r="A19" s="110">
        <v>42156</v>
      </c>
      <c r="B19" s="36">
        <v>361.9</v>
      </c>
    </row>
    <row r="20" spans="1:2" ht="15.75" thickBot="1" x14ac:dyDescent="0.3">
      <c r="A20" s="110">
        <v>42157</v>
      </c>
      <c r="B20" s="36">
        <v>335.55</v>
      </c>
    </row>
    <row r="21" spans="1:2" ht="15.75" thickBot="1" x14ac:dyDescent="0.3">
      <c r="A21" s="110">
        <v>42158</v>
      </c>
      <c r="B21" s="36">
        <v>319.8</v>
      </c>
    </row>
    <row r="22" spans="1:2" ht="15.75" thickBot="1" x14ac:dyDescent="0.3">
      <c r="A22" s="110">
        <v>42159</v>
      </c>
      <c r="B22" s="36">
        <v>314.14999999999998</v>
      </c>
    </row>
    <row r="23" spans="1:2" ht="15.75" thickBot="1" x14ac:dyDescent="0.3">
      <c r="A23" s="110">
        <v>42160</v>
      </c>
      <c r="B23" s="36">
        <v>305.25</v>
      </c>
    </row>
    <row r="24" spans="1:2" ht="15.75" thickBot="1" x14ac:dyDescent="0.3">
      <c r="A24" s="110">
        <v>42163</v>
      </c>
      <c r="B24" s="36">
        <v>290.39999999999998</v>
      </c>
    </row>
    <row r="25" spans="1:2" ht="15.75" thickBot="1" x14ac:dyDescent="0.3">
      <c r="A25" s="110">
        <v>42164</v>
      </c>
      <c r="B25" s="36">
        <v>275.10000000000002</v>
      </c>
    </row>
    <row r="26" spans="1:2" ht="15.75" thickBot="1" x14ac:dyDescent="0.3">
      <c r="A26" s="110">
        <v>42165</v>
      </c>
      <c r="B26" s="36">
        <v>275.95</v>
      </c>
    </row>
    <row r="27" spans="1:2" ht="15.75" thickBot="1" x14ac:dyDescent="0.3">
      <c r="A27" s="110">
        <v>42166</v>
      </c>
      <c r="B27" s="36">
        <v>273.14999999999998</v>
      </c>
    </row>
    <row r="28" spans="1:2" ht="15.75" thickBot="1" x14ac:dyDescent="0.3">
      <c r="A28" s="110">
        <v>42167</v>
      </c>
      <c r="B28" s="36">
        <v>264.45</v>
      </c>
    </row>
    <row r="29" spans="1:2" ht="15.75" thickBot="1" x14ac:dyDescent="0.3">
      <c r="A29" s="110">
        <v>42170</v>
      </c>
      <c r="B29" s="36">
        <v>253.1</v>
      </c>
    </row>
    <row r="30" spans="1:2" ht="15.75" thickBot="1" x14ac:dyDescent="0.3">
      <c r="A30" s="110">
        <v>42171</v>
      </c>
      <c r="B30" s="36">
        <v>290.3</v>
      </c>
    </row>
    <row r="31" spans="1:2" ht="15.75" thickBot="1" x14ac:dyDescent="0.3">
      <c r="A31" s="110">
        <v>42172</v>
      </c>
      <c r="B31" s="36">
        <v>287.7</v>
      </c>
    </row>
    <row r="32" spans="1:2" ht="15.75" thickBot="1" x14ac:dyDescent="0.3">
      <c r="A32" s="110">
        <v>42173</v>
      </c>
      <c r="B32" s="36">
        <v>289</v>
      </c>
    </row>
    <row r="33" spans="1:2" ht="15.75" thickBot="1" x14ac:dyDescent="0.3">
      <c r="A33" s="110">
        <v>42174</v>
      </c>
      <c r="B33" s="36">
        <v>273.3</v>
      </c>
    </row>
    <row r="34" spans="1:2" ht="15.75" thickBot="1" x14ac:dyDescent="0.3">
      <c r="A34" s="110">
        <v>42177</v>
      </c>
      <c r="B34" s="36">
        <v>278.85000000000002</v>
      </c>
    </row>
    <row r="35" spans="1:2" ht="15.75" thickBot="1" x14ac:dyDescent="0.3">
      <c r="A35" s="110">
        <v>42178</v>
      </c>
      <c r="B35" s="36">
        <v>285.64999999999998</v>
      </c>
    </row>
    <row r="36" spans="1:2" ht="15.75" thickBot="1" x14ac:dyDescent="0.3">
      <c r="A36" s="110">
        <v>42179</v>
      </c>
      <c r="B36" s="36">
        <v>289.64999999999998</v>
      </c>
    </row>
    <row r="37" spans="1:2" ht="15.75" thickBot="1" x14ac:dyDescent="0.3">
      <c r="A37" s="110">
        <v>42180</v>
      </c>
      <c r="B37" s="36">
        <v>281.39999999999998</v>
      </c>
    </row>
    <row r="38" spans="1:2" ht="15.75" thickBot="1" x14ac:dyDescent="0.3">
      <c r="A38" s="110">
        <v>42181</v>
      </c>
      <c r="B38" s="36">
        <v>282.8</v>
      </c>
    </row>
    <row r="39" spans="1:2" ht="15.75" thickBot="1" x14ac:dyDescent="0.3">
      <c r="A39" s="110">
        <v>42184</v>
      </c>
      <c r="B39" s="36">
        <v>273.85000000000002</v>
      </c>
    </row>
    <row r="40" spans="1:2" ht="15.75" thickBot="1" x14ac:dyDescent="0.3">
      <c r="A40" s="110">
        <v>42185</v>
      </c>
      <c r="B40" s="36">
        <v>281.75</v>
      </c>
    </row>
    <row r="41" spans="1:2" ht="15.75" thickBot="1" x14ac:dyDescent="0.3">
      <c r="A41" s="110">
        <v>42186</v>
      </c>
      <c r="B41" s="36">
        <v>278.64999999999998</v>
      </c>
    </row>
    <row r="42" spans="1:2" ht="15.75" thickBot="1" x14ac:dyDescent="0.3">
      <c r="A42" s="110">
        <v>42187</v>
      </c>
      <c r="B42" s="36">
        <v>280.5</v>
      </c>
    </row>
    <row r="43" spans="1:2" ht="15.75" thickBot="1" x14ac:dyDescent="0.3">
      <c r="A43" s="110">
        <v>42188</v>
      </c>
      <c r="B43" s="36">
        <v>277.75</v>
      </c>
    </row>
    <row r="44" spans="1:2" ht="15.75" thickBot="1" x14ac:dyDescent="0.3">
      <c r="A44" s="110">
        <v>42191</v>
      </c>
      <c r="B44" s="36">
        <v>308.5</v>
      </c>
    </row>
    <row r="45" spans="1:2" ht="15.75" thickBot="1" x14ac:dyDescent="0.3">
      <c r="A45" s="110">
        <v>42192</v>
      </c>
      <c r="B45" s="36">
        <v>333.8</v>
      </c>
    </row>
    <row r="46" spans="1:2" ht="15.75" thickBot="1" x14ac:dyDescent="0.3">
      <c r="A46" s="110">
        <v>42193</v>
      </c>
      <c r="B46" s="36">
        <v>333.8</v>
      </c>
    </row>
    <row r="47" spans="1:2" ht="15.75" thickBot="1" x14ac:dyDescent="0.3">
      <c r="A47" s="110">
        <v>42194</v>
      </c>
      <c r="B47" s="36">
        <v>330.55</v>
      </c>
    </row>
    <row r="48" spans="1:2" ht="15.75" thickBot="1" x14ac:dyDescent="0.3">
      <c r="A48" s="110">
        <v>42195</v>
      </c>
      <c r="B48" s="36">
        <v>331.65</v>
      </c>
    </row>
    <row r="49" spans="1:2" ht="15.75" thickBot="1" x14ac:dyDescent="0.3">
      <c r="A49" s="110">
        <v>42198</v>
      </c>
      <c r="B49" s="36">
        <v>339.45</v>
      </c>
    </row>
    <row r="50" spans="1:2" ht="15.75" thickBot="1" x14ac:dyDescent="0.3">
      <c r="A50" s="110">
        <v>42199</v>
      </c>
      <c r="B50" s="36">
        <v>354.15</v>
      </c>
    </row>
    <row r="51" spans="1:2" ht="15.75" thickBot="1" x14ac:dyDescent="0.3">
      <c r="A51" s="110">
        <v>42200</v>
      </c>
      <c r="B51" s="36">
        <v>349.5</v>
      </c>
    </row>
    <row r="52" spans="1:2" ht="15.75" thickBot="1" x14ac:dyDescent="0.3">
      <c r="A52" s="110">
        <v>42201</v>
      </c>
      <c r="B52" s="36">
        <v>348.8</v>
      </c>
    </row>
    <row r="53" spans="1:2" ht="15.75" thickBot="1" x14ac:dyDescent="0.3">
      <c r="A53" s="110">
        <v>42202</v>
      </c>
      <c r="B53" s="36">
        <v>343.35</v>
      </c>
    </row>
    <row r="54" spans="1:2" ht="15.75" thickBot="1" x14ac:dyDescent="0.3">
      <c r="A54" s="110">
        <v>42205</v>
      </c>
      <c r="B54" s="36">
        <v>345.6</v>
      </c>
    </row>
    <row r="55" spans="1:2" ht="15.75" thickBot="1" x14ac:dyDescent="0.3">
      <c r="A55" s="110">
        <v>42206</v>
      </c>
      <c r="B55" s="36">
        <v>320.95</v>
      </c>
    </row>
    <row r="56" spans="1:2" ht="15.75" thickBot="1" x14ac:dyDescent="0.3">
      <c r="A56" s="110">
        <v>42207</v>
      </c>
      <c r="B56" s="36">
        <v>324.25</v>
      </c>
    </row>
    <row r="57" spans="1:2" ht="15.75" thickBot="1" x14ac:dyDescent="0.3">
      <c r="A57" s="110">
        <v>42208</v>
      </c>
      <c r="B57" s="36">
        <v>327.64999999999998</v>
      </c>
    </row>
    <row r="58" spans="1:2" ht="15.75" thickBot="1" x14ac:dyDescent="0.3">
      <c r="A58" s="110">
        <v>42209</v>
      </c>
      <c r="B58" s="36">
        <v>323.7</v>
      </c>
    </row>
    <row r="59" spans="1:2" ht="15.75" thickBot="1" x14ac:dyDescent="0.3">
      <c r="A59" s="110">
        <v>42212</v>
      </c>
      <c r="B59" s="36">
        <v>319.55</v>
      </c>
    </row>
    <row r="60" spans="1:2" ht="15.75" thickBot="1" x14ac:dyDescent="0.3">
      <c r="A60" s="110">
        <v>42213</v>
      </c>
      <c r="B60" s="36">
        <v>329.05</v>
      </c>
    </row>
    <row r="61" spans="1:2" ht="15.75" thickBot="1" x14ac:dyDescent="0.3">
      <c r="A61" s="110">
        <v>42214</v>
      </c>
      <c r="B61" s="36">
        <v>390.7</v>
      </c>
    </row>
    <row r="62" spans="1:2" ht="15.75" thickBot="1" x14ac:dyDescent="0.3">
      <c r="A62" s="110">
        <v>42215</v>
      </c>
      <c r="B62" s="36">
        <v>382.25</v>
      </c>
    </row>
    <row r="63" spans="1:2" ht="15.75" thickBot="1" x14ac:dyDescent="0.3">
      <c r="A63" s="110">
        <v>42216</v>
      </c>
      <c r="B63" s="36">
        <v>400.15</v>
      </c>
    </row>
    <row r="64" spans="1:2" ht="15.75" thickBot="1" x14ac:dyDescent="0.3">
      <c r="A64" s="110">
        <v>42219</v>
      </c>
      <c r="B64" s="36">
        <v>408.75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Flag</vt:lpstr>
      <vt:lpstr>Moon</vt:lpstr>
      <vt:lpstr>Trend</vt:lpstr>
      <vt:lpstr>Colour Dots</vt:lpstr>
      <vt:lpstr>Bar Chart</vt:lpstr>
      <vt:lpstr>Dividing Name</vt:lpstr>
      <vt:lpstr>Pan Card number</vt:lpstr>
      <vt:lpstr>Basic Formula</vt:lpstr>
      <vt:lpstr>SUM Product</vt:lpstr>
      <vt:lpstr>Index</vt:lpstr>
      <vt:lpstr>VLOOKUP </vt:lpstr>
      <vt:lpstr>VLookup</vt:lpstr>
      <vt:lpstr>Depreciation</vt:lpstr>
      <vt:lpstr>Future Value Calculation</vt:lpstr>
      <vt:lpstr>Present Value Calculation</vt:lpstr>
      <vt:lpstr>Sheet1</vt:lpstr>
      <vt:lpstr>Statistical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2026-08-08T06:04:41Z</dcterms:created>
  <dcterms:modified xsi:type="dcterms:W3CDTF">2026-09-22T07:08:12Z</dcterms:modified>
</cp:coreProperties>
</file>